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cealed" sheetId="1" state="visible" r:id="rId3"/>
    <sheet name="Ducted" sheetId="2" state="visible" r:id="rId4"/>
    <sheet name="Cassette" sheetId="3" state="visible" r:id="rId5"/>
    <sheet name="Bran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<sst xmlns="http://schemas.openxmlformats.org/spreadsheetml/2006/main" count="120" uniqueCount="39">
  <si>
    <t xml:space="preserve">Concealed fan coil database: one row per model, add new brands/models in the empty rows below the example (up to row 305)</t>
  </si>
  <si>
    <t xml:space="preserve">Enter all capacities at the same rating conditions for every model (e.g., chilled water 7/12 °C, hot water 45/40 °C). Brand names must be spelled identically on every row. The row marked EXAMPLE is ignored.</t>
  </si>
  <si>
    <t xml:space="preserve">Low speed</t>
  </si>
  <si>
    <t xml:space="preserve">Medium speed</t>
  </si>
  <si>
    <t xml:space="preserve">High speed</t>
  </si>
  <si>
    <t xml:space="preserve">Brand</t>
  </si>
  <si>
    <t xml:space="preserve">Model</t>
  </si>
  <si>
    <t xml:space="preserve">Total Cooling (BTU/hr)</t>
  </si>
  <si>
    <t xml:space="preserve">Sensible Cooling (BTU/hr)</t>
  </si>
  <si>
    <t xml:space="preserve">Heating (BTU/hr)</t>
  </si>
  <si>
    <t xml:space="preserve">Airflow (CFM)</t>
  </si>
  <si>
    <t xml:space="preserve">Notes / Source</t>
  </si>
  <si>
    <t xml:space="preserve">EXAMPLE</t>
  </si>
  <si>
    <t xml:space="preserve">Model-XXX</t>
  </si>
  <si>
    <t xml:space="preserve">Illustrative only – ignored</t>
  </si>
  <si>
    <t xml:space="preserve">تهویه</t>
  </si>
  <si>
    <t xml:space="preserve">HR/HS 200</t>
  </si>
  <si>
    <t xml:space="preserve">HR/HS series (ceiling concealed); catalog kW × 3412.14, CFM from catalog</t>
  </si>
  <si>
    <t xml:space="preserve">HR/HS 300</t>
  </si>
  <si>
    <t xml:space="preserve">HR/HS 400</t>
  </si>
  <si>
    <t xml:space="preserve">HR/HS 600</t>
  </si>
  <si>
    <t xml:space="preserve">HR/HS 800</t>
  </si>
  <si>
    <t xml:space="preserve">HR/HS 1000</t>
  </si>
  <si>
    <t xml:space="preserve">HR/HS 1200</t>
  </si>
  <si>
    <t xml:space="preserve">Ducted fan coil database: one row per model, add new brands/models in the empty rows below the example (up to row 305)</t>
  </si>
  <si>
    <t xml:space="preserve">AR N-06</t>
  </si>
  <si>
    <t xml:space="preserve">AR N series (slim ducted); catalog kW × 3412.14, CFM from catalog</t>
  </si>
  <si>
    <t xml:space="preserve">AR N-08</t>
  </si>
  <si>
    <t xml:space="preserve">AR N-10</t>
  </si>
  <si>
    <t xml:space="preserve">AR N-12</t>
  </si>
  <si>
    <t xml:space="preserve">AR N-14</t>
  </si>
  <si>
    <t xml:space="preserve">AR N-16</t>
  </si>
  <si>
    <t xml:space="preserve">AR N-18</t>
  </si>
  <si>
    <t xml:space="preserve">AR N-20</t>
  </si>
  <si>
    <t xml:space="preserve">AR N-23</t>
  </si>
  <si>
    <t xml:space="preserve">Cassette fan coil database: one row per model, add new brands/models in the empty rows below the example (up to row 305)</t>
  </si>
  <si>
    <t xml:space="preserve">All brand cells (auto)</t>
  </si>
  <si>
    <t xml:space="preserve">Unique #</t>
  </si>
  <si>
    <t xml:space="preserve">Brand list (auto – do not edit)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</si>
</sst>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1F4E78"/>
        <bgColor rgb="FF003366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14" min="3" style="1" width="13"/>
    <col collapsed="false" customWidth="true" hidden="false" outlineLevel="0" max="15" min="15" style="1" width="2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C4" s="4" t="s">
        <v>2</v>
      </c>
      <c r="D4" s="4"/>
      <c r="E4" s="4"/>
      <c r="F4" s="4"/>
      <c r="G4" s="5" t="s">
        <v>3</v>
      </c>
      <c r="H4" s="5"/>
      <c r="I4" s="5"/>
      <c r="J4" s="5"/>
      <c r="K4" s="6" t="s">
        <v>4</v>
      </c>
      <c r="L4" s="6"/>
      <c r="M4" s="6"/>
      <c r="N4" s="6"/>
    </row>
    <row r="5" customFormat="false" ht="45" hidden="false" customHeight="true" outlineLevel="0" collapsed="false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7</v>
      </c>
      <c r="L5" s="7" t="s">
        <v>8</v>
      </c>
      <c r="M5" s="7" t="s">
        <v>9</v>
      </c>
      <c r="N5" s="7" t="s">
        <v>10</v>
      </c>
      <c r="O5" s="7" t="s">
        <v>11</v>
      </c>
    </row>
    <row r="6" customFormat="false" ht="15" hidden="false" customHeight="true" outlineLevel="0" collapsed="false">
      <c r="A6" s="8" t="s">
        <v>12</v>
      </c>
      <c r="B6" s="8" t="s">
        <v>13</v>
      </c>
      <c r="C6" s="9" t="n">
        <v>9000</v>
      </c>
      <c r="D6" s="9" t="n">
        <v>6500</v>
      </c>
      <c r="E6" s="9" t="n">
        <v>12000</v>
      </c>
      <c r="F6" s="9" t="n">
        <v>300</v>
      </c>
      <c r="G6" s="9" t="n">
        <v>8000</v>
      </c>
      <c r="H6" s="9" t="n">
        <v>5800</v>
      </c>
      <c r="I6" s="9" t="n">
        <v>11000</v>
      </c>
      <c r="J6" s="9" t="n">
        <v>250</v>
      </c>
      <c r="K6" s="9" t="n">
        <v>6500</v>
      </c>
      <c r="L6" s="9" t="n">
        <v>4800</v>
      </c>
      <c r="M6" s="9" t="n">
        <v>9500</v>
      </c>
      <c r="N6" s="9" t="n">
        <v>200</v>
      </c>
      <c r="O6" s="8" t="s">
        <v>14</v>
      </c>
    </row>
    <row r="7" customFormat="false" ht="15" hidden="false" customHeight="true" outlineLevel="0" collapsed="false">
      <c r="A7" s="10" t="s">
        <v>15</v>
      </c>
      <c r="B7" s="10" t="s">
        <v>16</v>
      </c>
      <c r="C7" s="11" t="n">
        <v>3105</v>
      </c>
      <c r="D7" s="11" t="n">
        <v>2525</v>
      </c>
      <c r="E7" s="11" t="n">
        <v>3856</v>
      </c>
      <c r="F7" s="11" t="n">
        <v>96</v>
      </c>
      <c r="G7" s="11" t="n">
        <v>3719</v>
      </c>
      <c r="H7" s="11" t="n">
        <v>3037</v>
      </c>
      <c r="I7" s="11" t="n">
        <v>4606</v>
      </c>
      <c r="J7" s="11" t="n">
        <v>120</v>
      </c>
      <c r="K7" s="11" t="n">
        <v>5528</v>
      </c>
      <c r="L7" s="11" t="n">
        <v>4572</v>
      </c>
      <c r="M7" s="11" t="n">
        <v>6688</v>
      </c>
      <c r="N7" s="11" t="n">
        <v>200</v>
      </c>
      <c r="O7" s="10" t="s">
        <v>17</v>
      </c>
    </row>
    <row r="8" customFormat="false" ht="15" hidden="false" customHeight="true" outlineLevel="0" collapsed="false">
      <c r="A8" s="10" t="s">
        <v>15</v>
      </c>
      <c r="B8" s="10" t="s">
        <v>18</v>
      </c>
      <c r="C8" s="11" t="n">
        <v>6722</v>
      </c>
      <c r="D8" s="11" t="n">
        <v>4743</v>
      </c>
      <c r="E8" s="11" t="n">
        <v>6995</v>
      </c>
      <c r="F8" s="11" t="n">
        <v>142</v>
      </c>
      <c r="G8" s="11" t="n">
        <v>9998</v>
      </c>
      <c r="H8" s="11" t="n">
        <v>6893</v>
      </c>
      <c r="I8" s="11" t="n">
        <v>9929</v>
      </c>
      <c r="J8" s="11" t="n">
        <v>213</v>
      </c>
      <c r="K8" s="11" t="n">
        <v>13103</v>
      </c>
      <c r="L8" s="11" t="n">
        <v>9179</v>
      </c>
      <c r="M8" s="11" t="n">
        <v>13171</v>
      </c>
      <c r="N8" s="11" t="n">
        <v>300</v>
      </c>
      <c r="O8" s="10" t="s">
        <v>17</v>
      </c>
    </row>
    <row r="9" customFormat="false" ht="15" hidden="false" customHeight="true" outlineLevel="0" collapsed="false">
      <c r="A9" s="10" t="s">
        <v>15</v>
      </c>
      <c r="B9" s="10" t="s">
        <v>19</v>
      </c>
      <c r="C9" s="11" t="n">
        <v>8189</v>
      </c>
      <c r="D9" s="11" t="n">
        <v>5971</v>
      </c>
      <c r="E9" s="11" t="n">
        <v>8803</v>
      </c>
      <c r="F9" s="11" t="n">
        <v>195</v>
      </c>
      <c r="G9" s="11" t="n">
        <v>12250</v>
      </c>
      <c r="H9" s="11" t="n">
        <v>8872</v>
      </c>
      <c r="I9" s="11" t="n">
        <v>12830</v>
      </c>
      <c r="J9" s="11" t="n">
        <v>310</v>
      </c>
      <c r="K9" s="11" t="n">
        <v>14706</v>
      </c>
      <c r="L9" s="11" t="n">
        <v>10816</v>
      </c>
      <c r="M9" s="11" t="n">
        <v>15593</v>
      </c>
      <c r="N9" s="11" t="n">
        <v>400</v>
      </c>
      <c r="O9" s="10" t="s">
        <v>17</v>
      </c>
    </row>
    <row r="10" customFormat="false" ht="15" hidden="false" customHeight="true" outlineLevel="0" collapsed="false">
      <c r="A10" s="10" t="s">
        <v>15</v>
      </c>
      <c r="B10" s="10" t="s">
        <v>20</v>
      </c>
      <c r="C10" s="11" t="n">
        <v>15901</v>
      </c>
      <c r="D10" s="11" t="n">
        <v>11124</v>
      </c>
      <c r="E10" s="11" t="n">
        <v>15832</v>
      </c>
      <c r="F10" s="11" t="n">
        <v>360</v>
      </c>
      <c r="G10" s="11" t="n">
        <v>20098</v>
      </c>
      <c r="H10" s="11" t="n">
        <v>14331</v>
      </c>
      <c r="I10" s="11" t="n">
        <v>20336</v>
      </c>
      <c r="J10" s="11" t="n">
        <v>498</v>
      </c>
      <c r="K10" s="11" t="n">
        <v>22725</v>
      </c>
      <c r="L10" s="11" t="n">
        <v>16344</v>
      </c>
      <c r="M10" s="11" t="n">
        <v>23305</v>
      </c>
      <c r="N10" s="11" t="n">
        <v>600</v>
      </c>
      <c r="O10" s="10" t="s">
        <v>17</v>
      </c>
    </row>
    <row r="11" customFormat="false" ht="15" hidden="false" customHeight="true" outlineLevel="0" collapsed="false">
      <c r="A11" s="10" t="s">
        <v>15</v>
      </c>
      <c r="B11" s="10" t="s">
        <v>21</v>
      </c>
      <c r="C11" s="11" t="n">
        <v>19176</v>
      </c>
      <c r="D11" s="11" t="n">
        <v>10782</v>
      </c>
      <c r="E11" s="11" t="n">
        <v>16276</v>
      </c>
      <c r="F11" s="11" t="n">
        <v>444</v>
      </c>
      <c r="G11" s="11" t="n">
        <v>24294</v>
      </c>
      <c r="H11" s="11" t="n">
        <v>13922</v>
      </c>
      <c r="I11" s="11" t="n">
        <v>21292</v>
      </c>
      <c r="J11" s="11" t="n">
        <v>617</v>
      </c>
      <c r="K11" s="11" t="n">
        <v>28764</v>
      </c>
      <c r="L11" s="11" t="n">
        <v>16719</v>
      </c>
      <c r="M11" s="11" t="n">
        <v>25966</v>
      </c>
      <c r="N11" s="11" t="n">
        <v>800</v>
      </c>
      <c r="O11" s="10" t="s">
        <v>17</v>
      </c>
    </row>
    <row r="12" customFormat="false" ht="15" hidden="false" customHeight="true" outlineLevel="0" collapsed="false">
      <c r="A12" s="10" t="s">
        <v>15</v>
      </c>
      <c r="B12" s="10" t="s">
        <v>22</v>
      </c>
      <c r="C12" s="11" t="n">
        <v>27468</v>
      </c>
      <c r="D12" s="11" t="n">
        <v>15321</v>
      </c>
      <c r="E12" s="11" t="n">
        <v>22998</v>
      </c>
      <c r="F12" s="11" t="n">
        <v>612</v>
      </c>
      <c r="G12" s="11" t="n">
        <v>33132</v>
      </c>
      <c r="H12" s="11" t="n">
        <v>18801</v>
      </c>
      <c r="I12" s="11" t="n">
        <v>28423</v>
      </c>
      <c r="J12" s="11" t="n">
        <v>788</v>
      </c>
      <c r="K12" s="11" t="n">
        <v>39205</v>
      </c>
      <c r="L12" s="11" t="n">
        <v>22486</v>
      </c>
      <c r="M12" s="11" t="n">
        <v>34360</v>
      </c>
      <c r="N12" s="11" t="n">
        <v>1000</v>
      </c>
      <c r="O12" s="10" t="s">
        <v>17</v>
      </c>
    </row>
    <row r="13" customFormat="false" ht="15" hidden="false" customHeight="true" outlineLevel="0" collapsed="false">
      <c r="A13" s="10" t="s">
        <v>15</v>
      </c>
      <c r="B13" s="10" t="s">
        <v>23</v>
      </c>
      <c r="C13" s="11" t="n">
        <v>30709</v>
      </c>
      <c r="D13" s="11" t="n">
        <v>17334</v>
      </c>
      <c r="E13" s="11" t="n">
        <v>26137</v>
      </c>
      <c r="F13" s="11" t="n">
        <v>712</v>
      </c>
      <c r="G13" s="11" t="n">
        <v>37397</v>
      </c>
      <c r="H13" s="11" t="n">
        <v>21360</v>
      </c>
      <c r="I13" s="11" t="n">
        <v>32518</v>
      </c>
      <c r="J13" s="11" t="n">
        <v>932</v>
      </c>
      <c r="K13" s="11" t="n">
        <v>44358</v>
      </c>
      <c r="L13" s="11" t="n">
        <v>25591</v>
      </c>
      <c r="M13" s="11" t="n">
        <v>39547</v>
      </c>
      <c r="N13" s="11" t="n">
        <v>1200</v>
      </c>
      <c r="O13" s="10" t="s">
        <v>17</v>
      </c>
    </row>
    <row r="14" customFormat="false" ht="15" hidden="false" customHeight="true" outlineLevel="0" collapsed="false">
      <c r="A14" s="10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0"/>
    </row>
    <row r="15" customFormat="false" ht="15" hidden="false" customHeight="true" outlineLevel="0" collapsed="false">
      <c r="A15" s="10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0"/>
    </row>
    <row r="16" customFormat="false" ht="15" hidden="false" customHeight="true" outlineLevel="0" collapsed="false">
      <c r="A16" s="10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0"/>
    </row>
    <row r="17" customFormat="false" ht="15" hidden="false" customHeight="true" outlineLevel="0" collapsed="false">
      <c r="A17" s="10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0"/>
    </row>
    <row r="18" customFormat="false" ht="15" hidden="false" customHeight="true" outlineLevel="0" collapsed="false">
      <c r="A18" s="10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0"/>
    </row>
    <row r="19" customFormat="false" ht="15" hidden="false" customHeight="true" outlineLevel="0" collapsed="false">
      <c r="A19" s="10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0"/>
    </row>
    <row r="20" customFormat="false" ht="15" hidden="false" customHeight="true" outlineLevel="0" collapsed="false">
      <c r="A20" s="10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0"/>
    </row>
    <row r="21" customFormat="false" ht="15" hidden="false" customHeight="true" outlineLevel="0" collapsed="false">
      <c r="A21" s="10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0"/>
    </row>
    <row r="22" customFormat="false" ht="15" hidden="false" customHeight="true" outlineLevel="0" collapsed="false">
      <c r="A22" s="10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0"/>
    </row>
    <row r="23" customFormat="false" ht="15" hidden="false" customHeight="true" outlineLevel="0" collapsed="false">
      <c r="A23" s="10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0"/>
    </row>
    <row r="24" customFormat="false" ht="15" hidden="false" customHeight="true" outlineLevel="0" collapsed="false">
      <c r="A24" s="10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0"/>
    </row>
    <row r="25" customFormat="false" ht="15" hidden="false" customHeight="true" outlineLevel="0" collapsed="false">
      <c r="A25" s="10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0"/>
    </row>
    <row r="26" customFormat="false" ht="15" hidden="false" customHeight="true" outlineLevel="0" collapsed="false">
      <c r="A26" s="10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0"/>
    </row>
    <row r="27" customFormat="false" ht="15" hidden="false" customHeight="true" outlineLevel="0" collapsed="false">
      <c r="A27" s="10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0"/>
    </row>
    <row r="28" customFormat="false" ht="15" hidden="false" customHeight="true" outlineLevel="0" collapsed="false">
      <c r="A28" s="10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0"/>
    </row>
    <row r="29" customFormat="false" ht="15" hidden="false" customHeight="true" outlineLevel="0" collapsed="false">
      <c r="A29" s="10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0"/>
    </row>
    <row r="30" customFormat="false" ht="15" hidden="false" customHeight="true" outlineLevel="0" collapsed="false">
      <c r="A30" s="10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0"/>
    </row>
    <row r="31" customFormat="false" ht="15" hidden="false" customHeight="true" outlineLevel="0" collapsed="false">
      <c r="A31" s="10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0"/>
    </row>
    <row r="32" customFormat="false" ht="15" hidden="false" customHeight="true" outlineLevel="0" collapsed="false">
      <c r="A32" s="10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0"/>
    </row>
    <row r="33" customFormat="false" ht="15" hidden="false" customHeight="true" outlineLevel="0" collapsed="false">
      <c r="A33" s="10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0"/>
    </row>
    <row r="34" customFormat="false" ht="15" hidden="false" customHeight="true" outlineLevel="0" collapsed="false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0"/>
    </row>
    <row r="35" customFormat="false" ht="15" hidden="false" customHeight="true" outlineLevel="0" collapsed="false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0"/>
    </row>
    <row r="36" customFormat="false" ht="15" hidden="false" customHeight="true" outlineLevel="0" collapsed="false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0"/>
    </row>
    <row r="37" customFormat="false" ht="15" hidden="false" customHeight="true" outlineLevel="0" collapsed="false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0"/>
    </row>
    <row r="38" customFormat="false" ht="15" hidden="false" customHeight="true" outlineLevel="0" collapsed="false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0"/>
    </row>
    <row r="39" customFormat="false" ht="15" hidden="false" customHeight="true" outlineLevel="0" collapsed="false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0"/>
    </row>
    <row r="40" customFormat="false" ht="15" hidden="false" customHeight="true" outlineLevel="0" collapsed="false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0"/>
    </row>
    <row r="41" customFormat="false" ht="15" hidden="false" customHeight="true" outlineLevel="0" collapsed="false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0"/>
    </row>
    <row r="42" customFormat="false" ht="15" hidden="false" customHeight="true" outlineLevel="0" collapsed="false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0"/>
    </row>
    <row r="43" customFormat="false" ht="15" hidden="false" customHeight="true" outlineLevel="0" collapsed="false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0"/>
    </row>
    <row r="44" customFormat="false" ht="15" hidden="false" customHeight="true" outlineLevel="0" collapsed="false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0"/>
    </row>
    <row r="45" customFormat="false" ht="15" hidden="false" customHeight="true" outlineLevel="0" collapsed="false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0"/>
    </row>
    <row r="46" customFormat="false" ht="15" hidden="false" customHeight="true" outlineLevel="0" collapsed="false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0"/>
    </row>
    <row r="47" customFormat="false" ht="15" hidden="false" customHeight="true" outlineLevel="0" collapsed="false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0"/>
    </row>
    <row r="48" customFormat="false" ht="15" hidden="false" customHeight="true" outlineLevel="0" collapsed="false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0"/>
    </row>
    <row r="49" customFormat="false" ht="15" hidden="false" customHeight="true" outlineLevel="0" collapsed="false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0"/>
    </row>
    <row r="50" customFormat="false" ht="15" hidden="false" customHeight="true" outlineLevel="0" collapsed="false">
      <c r="A50" s="10"/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0"/>
    </row>
    <row r="51" customFormat="false" ht="15" hidden="false" customHeight="true" outlineLevel="0" collapsed="false">
      <c r="A51" s="10"/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0"/>
    </row>
    <row r="52" customFormat="false" ht="15" hidden="false" customHeight="true" outlineLevel="0" collapsed="false">
      <c r="A52" s="10"/>
      <c r="B52" s="1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0"/>
    </row>
    <row r="53" customFormat="false" ht="15" hidden="false" customHeight="true" outlineLevel="0" collapsed="false">
      <c r="A53" s="10"/>
      <c r="B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0"/>
    </row>
    <row r="54" customFormat="false" ht="15" hidden="false" customHeight="true" outlineLevel="0" collapsed="false">
      <c r="A54" s="10"/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0"/>
    </row>
    <row r="55" customFormat="false" ht="15" hidden="false" customHeight="true" outlineLevel="0" collapsed="false">
      <c r="A55" s="10"/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0"/>
    </row>
    <row r="56" customFormat="false" ht="15" hidden="false" customHeight="true" outlineLevel="0" collapsed="false">
      <c r="A56" s="10"/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0"/>
    </row>
    <row r="57" customFormat="false" ht="15" hidden="false" customHeight="true" outlineLevel="0" collapsed="false">
      <c r="A57" s="10"/>
      <c r="B57" s="1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0"/>
    </row>
    <row r="58" customFormat="false" ht="15" hidden="false" customHeight="true" outlineLevel="0" collapsed="false">
      <c r="A58" s="10"/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0"/>
    </row>
    <row r="59" customFormat="false" ht="15" hidden="false" customHeight="true" outlineLevel="0" collapsed="false">
      <c r="A59" s="10"/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0"/>
    </row>
    <row r="60" customFormat="false" ht="15" hidden="false" customHeight="true" outlineLevel="0" collapsed="false">
      <c r="A60" s="10"/>
      <c r="B60" s="10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0"/>
    </row>
    <row r="61" customFormat="false" ht="15" hidden="false" customHeight="true" outlineLevel="0" collapsed="false">
      <c r="A61" s="10"/>
      <c r="B61" s="1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0"/>
    </row>
    <row r="62" customFormat="false" ht="15" hidden="false" customHeight="true" outlineLevel="0" collapsed="false">
      <c r="A62" s="10"/>
      <c r="B62" s="10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0"/>
    </row>
    <row r="63" customFormat="false" ht="15" hidden="false" customHeight="true" outlineLevel="0" collapsed="false">
      <c r="A63" s="10"/>
      <c r="B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0"/>
    </row>
    <row r="64" customFormat="false" ht="15" hidden="false" customHeight="true" outlineLevel="0" collapsed="false">
      <c r="A64" s="10"/>
      <c r="B64" s="10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0"/>
    </row>
    <row r="65" customFormat="false" ht="15" hidden="false" customHeight="true" outlineLevel="0" collapsed="false">
      <c r="A65" s="10"/>
      <c r="B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0"/>
    </row>
    <row r="66" customFormat="false" ht="15" hidden="false" customHeight="true" outlineLevel="0" collapsed="false">
      <c r="A66" s="10"/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0"/>
    </row>
    <row r="67" customFormat="false" ht="15" hidden="false" customHeight="true" outlineLevel="0" collapsed="false">
      <c r="A67" s="10"/>
      <c r="B67" s="1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0"/>
    </row>
    <row r="68" customFormat="false" ht="15" hidden="false" customHeight="true" outlineLevel="0" collapsed="false">
      <c r="A68" s="10"/>
      <c r="B68" s="1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0"/>
    </row>
    <row r="69" customFormat="false" ht="15" hidden="false" customHeight="true" outlineLevel="0" collapsed="false">
      <c r="A69" s="10"/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0"/>
    </row>
    <row r="70" customFormat="false" ht="15" hidden="false" customHeight="true" outlineLevel="0" collapsed="false">
      <c r="A70" s="10"/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0"/>
    </row>
    <row r="71" customFormat="false" ht="15" hidden="false" customHeight="true" outlineLevel="0" collapsed="false">
      <c r="A71" s="10"/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0"/>
    </row>
    <row r="72" customFormat="false" ht="15" hidden="false" customHeight="true" outlineLevel="0" collapsed="false">
      <c r="A72" s="10"/>
      <c r="B72" s="1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0"/>
    </row>
    <row r="73" customFormat="false" ht="15" hidden="false" customHeight="true" outlineLevel="0" collapsed="false">
      <c r="A73" s="10"/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0"/>
    </row>
    <row r="74" customFormat="false" ht="15" hidden="false" customHeight="true" outlineLevel="0" collapsed="false">
      <c r="A74" s="10"/>
      <c r="B74" s="10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0"/>
    </row>
    <row r="75" customFormat="false" ht="15" hidden="false" customHeight="true" outlineLevel="0" collapsed="false">
      <c r="A75" s="10"/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0"/>
    </row>
    <row r="76" customFormat="false" ht="15" hidden="false" customHeight="true" outlineLevel="0" collapsed="false">
      <c r="A76" s="10"/>
      <c r="B76" s="10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0"/>
    </row>
    <row r="77" customFormat="false" ht="15" hidden="false" customHeight="true" outlineLevel="0" collapsed="false">
      <c r="A77" s="10"/>
      <c r="B77" s="1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0"/>
    </row>
    <row r="78" customFormat="false" ht="15" hidden="false" customHeight="true" outlineLevel="0" collapsed="false">
      <c r="A78" s="10"/>
      <c r="B78" s="1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0"/>
    </row>
    <row r="79" customFormat="false" ht="15" hidden="false" customHeight="true" outlineLevel="0" collapsed="false">
      <c r="A79" s="10"/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0"/>
    </row>
    <row r="80" customFormat="false" ht="15" hidden="false" customHeight="true" outlineLevel="0" collapsed="false">
      <c r="A80" s="10"/>
      <c r="B80" s="10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0"/>
    </row>
    <row r="81" customFormat="false" ht="15" hidden="false" customHeight="true" outlineLevel="0" collapsed="false">
      <c r="A81" s="10"/>
      <c r="B81" s="10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0"/>
    </row>
    <row r="82" customFormat="false" ht="15" hidden="false" customHeight="true" outlineLevel="0" collapsed="false">
      <c r="A82" s="10"/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0"/>
    </row>
    <row r="83" customFormat="false" ht="15" hidden="false" customHeight="true" outlineLevel="0" collapsed="false">
      <c r="A83" s="10"/>
      <c r="B83" s="1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0"/>
    </row>
    <row r="84" customFormat="false" ht="15" hidden="false" customHeight="true" outlineLevel="0" collapsed="false">
      <c r="A84" s="10"/>
      <c r="B84" s="10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0"/>
    </row>
    <row r="85" customFormat="false" ht="15" hidden="false" customHeight="true" outlineLevel="0" collapsed="false">
      <c r="A85" s="10"/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0"/>
    </row>
    <row r="86" customFormat="false" ht="15" hidden="false" customHeight="true" outlineLevel="0" collapsed="false">
      <c r="A86" s="10"/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0"/>
    </row>
    <row r="87" customFormat="false" ht="15" hidden="false" customHeight="true" outlineLevel="0" collapsed="false">
      <c r="A87" s="10"/>
      <c r="B87" s="10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0"/>
    </row>
    <row r="88" customFormat="false" ht="15" hidden="false" customHeight="true" outlineLevel="0" collapsed="false">
      <c r="A88" s="10"/>
      <c r="B88" s="10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0"/>
    </row>
    <row r="89" customFormat="false" ht="15" hidden="false" customHeight="true" outlineLevel="0" collapsed="false">
      <c r="A89" s="10"/>
      <c r="B89" s="1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0"/>
    </row>
    <row r="90" customFormat="false" ht="15" hidden="false" customHeight="true" outlineLevel="0" collapsed="false">
      <c r="A90" s="10"/>
      <c r="B90" s="10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0"/>
    </row>
    <row r="91" customFormat="false" ht="15" hidden="false" customHeight="true" outlineLevel="0" collapsed="false">
      <c r="A91" s="10"/>
      <c r="B91" s="10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0"/>
    </row>
    <row r="92" customFormat="false" ht="15" hidden="false" customHeight="true" outlineLevel="0" collapsed="false">
      <c r="A92" s="10"/>
      <c r="B92" s="10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0"/>
    </row>
    <row r="93" customFormat="false" ht="15" hidden="false" customHeight="true" outlineLevel="0" collapsed="false">
      <c r="A93" s="10"/>
      <c r="B93" s="1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0"/>
    </row>
    <row r="94" customFormat="false" ht="15" hidden="false" customHeight="true" outlineLevel="0" collapsed="false">
      <c r="A94" s="10"/>
      <c r="B94" s="10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0"/>
    </row>
    <row r="95" customFormat="false" ht="15" hidden="false" customHeight="true" outlineLevel="0" collapsed="false">
      <c r="A95" s="10"/>
      <c r="B95" s="10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0"/>
    </row>
    <row r="96" customFormat="false" ht="15" hidden="false" customHeight="true" outlineLevel="0" collapsed="false">
      <c r="A96" s="10"/>
      <c r="B96" s="10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0"/>
    </row>
    <row r="97" customFormat="false" ht="15" hidden="false" customHeight="true" outlineLevel="0" collapsed="false">
      <c r="A97" s="10"/>
      <c r="B97" s="10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/>
    </row>
    <row r="98" customFormat="false" ht="15" hidden="false" customHeight="true" outlineLevel="0" collapsed="false">
      <c r="A98" s="10"/>
      <c r="B98" s="1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0"/>
    </row>
    <row r="99" customFormat="false" ht="15" hidden="false" customHeight="true" outlineLevel="0" collapsed="false">
      <c r="A99" s="10"/>
      <c r="B99" s="10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0"/>
    </row>
    <row r="100" customFormat="false" ht="15" hidden="false" customHeight="true" outlineLevel="0" collapsed="false">
      <c r="A100" s="10"/>
      <c r="B100" s="10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0"/>
    </row>
    <row r="101" customFormat="false" ht="15" hidden="false" customHeight="true" outlineLevel="0" collapsed="false">
      <c r="A101" s="10"/>
      <c r="B101" s="1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0"/>
    </row>
    <row r="102" customFormat="false" ht="15" hidden="false" customHeight="true" outlineLevel="0" collapsed="false">
      <c r="A102" s="10"/>
      <c r="B102" s="10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0"/>
    </row>
    <row r="103" customFormat="false" ht="15" hidden="false" customHeight="true" outlineLevel="0" collapsed="false">
      <c r="A103" s="10"/>
      <c r="B103" s="1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0"/>
    </row>
    <row r="104" customFormat="false" ht="15" hidden="false" customHeight="true" outlineLevel="0" collapsed="false">
      <c r="A104" s="10"/>
      <c r="B104" s="10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0"/>
    </row>
    <row r="105" customFormat="false" ht="15" hidden="false" customHeight="true" outlineLevel="0" collapsed="false">
      <c r="A105" s="10"/>
      <c r="B105" s="10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0"/>
    </row>
    <row r="106" customFormat="false" ht="15" hidden="false" customHeight="true" outlineLevel="0" collapsed="false">
      <c r="A106" s="10"/>
      <c r="B106" s="10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/>
    </row>
    <row r="107" customFormat="false" ht="15" hidden="false" customHeight="true" outlineLevel="0" collapsed="false">
      <c r="A107" s="10"/>
      <c r="B107" s="10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0"/>
    </row>
    <row r="108" customFormat="false" ht="15" hidden="false" customHeight="true" outlineLevel="0" collapsed="false">
      <c r="A108" s="10"/>
      <c r="B108" s="10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0"/>
    </row>
    <row r="109" customFormat="false" ht="15" hidden="false" customHeight="true" outlineLevel="0" collapsed="false">
      <c r="A109" s="10"/>
      <c r="B109" s="10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0"/>
    </row>
    <row r="110" customFormat="false" ht="15" hidden="false" customHeight="true" outlineLevel="0" collapsed="false">
      <c r="A110" s="10"/>
      <c r="B110" s="10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0"/>
    </row>
    <row r="111" customFormat="false" ht="15" hidden="false" customHeight="true" outlineLevel="0" collapsed="false">
      <c r="A111" s="10"/>
      <c r="B111" s="10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0"/>
    </row>
    <row r="112" customFormat="false" ht="15" hidden="false" customHeight="true" outlineLevel="0" collapsed="false">
      <c r="A112" s="10"/>
      <c r="B112" s="10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0"/>
    </row>
    <row r="113" customFormat="false" ht="15" hidden="false" customHeight="true" outlineLevel="0" collapsed="false">
      <c r="A113" s="10"/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0"/>
    </row>
    <row r="114" customFormat="false" ht="15" hidden="false" customHeight="true" outlineLevel="0" collapsed="false">
      <c r="A114" s="10"/>
      <c r="B114" s="10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0"/>
    </row>
    <row r="115" customFormat="false" ht="15" hidden="false" customHeight="true" outlineLevel="0" collapsed="false">
      <c r="A115" s="10"/>
      <c r="B115" s="10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0"/>
    </row>
    <row r="116" customFormat="false" ht="15" hidden="false" customHeight="true" outlineLevel="0" collapsed="false">
      <c r="A116" s="10"/>
      <c r="B116" s="10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0"/>
    </row>
    <row r="117" customFormat="false" ht="15" hidden="false" customHeight="true" outlineLevel="0" collapsed="false">
      <c r="A117" s="10"/>
      <c r="B117" s="10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0"/>
    </row>
    <row r="118" customFormat="false" ht="15" hidden="false" customHeight="true" outlineLevel="0" collapsed="false">
      <c r="A118" s="10"/>
      <c r="B118" s="10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0"/>
    </row>
    <row r="119" customFormat="false" ht="15" hidden="false" customHeight="true" outlineLevel="0" collapsed="false">
      <c r="A119" s="10"/>
      <c r="B119" s="10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0"/>
    </row>
    <row r="120" customFormat="false" ht="15" hidden="false" customHeight="true" outlineLevel="0" collapsed="false">
      <c r="A120" s="10"/>
      <c r="B120" s="10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0"/>
    </row>
    <row r="121" customFormat="false" ht="15" hidden="false" customHeight="true" outlineLevel="0" collapsed="false">
      <c r="A121" s="10"/>
      <c r="B121" s="10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0"/>
    </row>
    <row r="122" customFormat="false" ht="15" hidden="false" customHeight="true" outlineLevel="0" collapsed="false">
      <c r="A122" s="10"/>
      <c r="B122" s="10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0"/>
    </row>
    <row r="123" customFormat="false" ht="15" hidden="false" customHeight="true" outlineLevel="0" collapsed="false">
      <c r="A123" s="10"/>
      <c r="B123" s="10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0"/>
    </row>
    <row r="124" customFormat="false" ht="15" hidden="false" customHeight="true" outlineLevel="0" collapsed="false">
      <c r="A124" s="10"/>
      <c r="B124" s="10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0"/>
    </row>
    <row r="125" customFormat="false" ht="15" hidden="false" customHeight="true" outlineLevel="0" collapsed="false">
      <c r="A125" s="10"/>
      <c r="B125" s="10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0"/>
    </row>
    <row r="126" customFormat="false" ht="15" hidden="false" customHeight="true" outlineLevel="0" collapsed="false">
      <c r="A126" s="10"/>
      <c r="B126" s="10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0"/>
    </row>
    <row r="127" customFormat="false" ht="15" hidden="false" customHeight="true" outlineLevel="0" collapsed="false">
      <c r="A127" s="10"/>
      <c r="B127" s="10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0"/>
    </row>
    <row r="128" customFormat="false" ht="15" hidden="false" customHeight="true" outlineLevel="0" collapsed="false">
      <c r="A128" s="10"/>
      <c r="B128" s="10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0"/>
    </row>
    <row r="129" customFormat="false" ht="15" hidden="false" customHeight="true" outlineLevel="0" collapsed="false">
      <c r="A129" s="10"/>
      <c r="B129" s="10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0"/>
    </row>
    <row r="130" customFormat="false" ht="15" hidden="false" customHeight="true" outlineLevel="0" collapsed="false">
      <c r="A130" s="10"/>
      <c r="B130" s="10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0"/>
    </row>
    <row r="131" customFormat="false" ht="15" hidden="false" customHeight="true" outlineLevel="0" collapsed="false">
      <c r="A131" s="10"/>
      <c r="B131" s="10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0"/>
    </row>
    <row r="132" customFormat="false" ht="15" hidden="false" customHeight="true" outlineLevel="0" collapsed="false">
      <c r="A132" s="10"/>
      <c r="B132" s="10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0"/>
    </row>
    <row r="133" customFormat="false" ht="15" hidden="false" customHeight="true" outlineLevel="0" collapsed="false">
      <c r="A133" s="10"/>
      <c r="B133" s="10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0"/>
    </row>
    <row r="134" customFormat="false" ht="15" hidden="false" customHeight="true" outlineLevel="0" collapsed="false">
      <c r="A134" s="10"/>
      <c r="B134" s="10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0"/>
    </row>
    <row r="135" customFormat="false" ht="15" hidden="false" customHeight="true" outlineLevel="0" collapsed="false">
      <c r="A135" s="10"/>
      <c r="B135" s="10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0"/>
    </row>
    <row r="136" customFormat="false" ht="15" hidden="false" customHeight="true" outlineLevel="0" collapsed="false">
      <c r="A136" s="10"/>
      <c r="B136" s="10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0"/>
    </row>
    <row r="137" customFormat="false" ht="15" hidden="false" customHeight="true" outlineLevel="0" collapsed="false">
      <c r="A137" s="10"/>
      <c r="B137" s="10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0"/>
    </row>
    <row r="138" customFormat="false" ht="15" hidden="false" customHeight="true" outlineLevel="0" collapsed="false">
      <c r="A138" s="10"/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0"/>
    </row>
    <row r="139" customFormat="false" ht="15" hidden="false" customHeight="true" outlineLevel="0" collapsed="false">
      <c r="A139" s="10"/>
      <c r="B139" s="10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0"/>
    </row>
    <row r="140" customFormat="false" ht="15" hidden="false" customHeight="true" outlineLevel="0" collapsed="false">
      <c r="A140" s="10"/>
      <c r="B140" s="10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0"/>
    </row>
    <row r="141" customFormat="false" ht="15" hidden="false" customHeight="true" outlineLevel="0" collapsed="false">
      <c r="A141" s="10"/>
      <c r="B141" s="1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0"/>
    </row>
    <row r="142" customFormat="false" ht="15" hidden="false" customHeight="true" outlineLevel="0" collapsed="false">
      <c r="A142" s="10"/>
      <c r="B142" s="10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0"/>
    </row>
    <row r="143" customFormat="false" ht="15" hidden="false" customHeight="true" outlineLevel="0" collapsed="false">
      <c r="A143" s="10"/>
      <c r="B143" s="10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0"/>
    </row>
    <row r="144" customFormat="false" ht="15" hidden="false" customHeight="true" outlineLevel="0" collapsed="false">
      <c r="A144" s="10"/>
      <c r="B144" s="1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0"/>
    </row>
    <row r="145" customFormat="false" ht="15" hidden="false" customHeight="true" outlineLevel="0" collapsed="false">
      <c r="A145" s="10"/>
      <c r="B145" s="10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0"/>
    </row>
    <row r="146" customFormat="false" ht="15" hidden="false" customHeight="true" outlineLevel="0" collapsed="false">
      <c r="A146" s="10"/>
      <c r="B146" s="10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0"/>
    </row>
    <row r="147" customFormat="false" ht="15" hidden="false" customHeight="true" outlineLevel="0" collapsed="false">
      <c r="A147" s="10"/>
      <c r="B147" s="10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0"/>
    </row>
    <row r="148" customFormat="false" ht="15" hidden="false" customHeight="true" outlineLevel="0" collapsed="false">
      <c r="A148" s="10"/>
      <c r="B148" s="10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0"/>
    </row>
    <row r="149" customFormat="false" ht="15" hidden="false" customHeight="true" outlineLevel="0" collapsed="false">
      <c r="A149" s="10"/>
      <c r="B149" s="10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0"/>
    </row>
    <row r="150" customFormat="false" ht="15" hidden="false" customHeight="true" outlineLevel="0" collapsed="false">
      <c r="A150" s="10"/>
      <c r="B150" s="1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0"/>
    </row>
    <row r="151" customFormat="false" ht="15" hidden="false" customHeight="true" outlineLevel="0" collapsed="false">
      <c r="A151" s="10"/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0"/>
    </row>
    <row r="152" customFormat="false" ht="15" hidden="false" customHeight="true" outlineLevel="0" collapsed="false">
      <c r="A152" s="10"/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0"/>
    </row>
    <row r="153" customFormat="false" ht="15" hidden="false" customHeight="true" outlineLevel="0" collapsed="false">
      <c r="A153" s="10"/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0"/>
    </row>
    <row r="154" customFormat="false" ht="15" hidden="false" customHeight="true" outlineLevel="0" collapsed="false">
      <c r="A154" s="10"/>
      <c r="B154" s="10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0"/>
    </row>
    <row r="155" customFormat="false" ht="15" hidden="false" customHeight="true" outlineLevel="0" collapsed="false">
      <c r="A155" s="10"/>
      <c r="B155" s="10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0"/>
    </row>
    <row r="156" customFormat="false" ht="15" hidden="false" customHeight="true" outlineLevel="0" collapsed="false">
      <c r="A156" s="10"/>
      <c r="B156" s="10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0"/>
    </row>
    <row r="157" customFormat="false" ht="15" hidden="false" customHeight="true" outlineLevel="0" collapsed="false">
      <c r="A157" s="10"/>
      <c r="B157" s="10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0"/>
    </row>
    <row r="158" customFormat="false" ht="15" hidden="false" customHeight="true" outlineLevel="0" collapsed="false">
      <c r="A158" s="10"/>
      <c r="B158" s="10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0"/>
    </row>
    <row r="159" customFormat="false" ht="15" hidden="false" customHeight="true" outlineLevel="0" collapsed="false">
      <c r="A159" s="10"/>
      <c r="B159" s="10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0"/>
    </row>
    <row r="160" customFormat="false" ht="15" hidden="false" customHeight="true" outlineLevel="0" collapsed="false">
      <c r="A160" s="10"/>
      <c r="B160" s="10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0"/>
    </row>
    <row r="161" customFormat="false" ht="15" hidden="false" customHeight="true" outlineLevel="0" collapsed="false">
      <c r="A161" s="10"/>
      <c r="B161" s="10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0"/>
    </row>
    <row r="162" customFormat="false" ht="15" hidden="false" customHeight="true" outlineLevel="0" collapsed="false">
      <c r="A162" s="10"/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0"/>
    </row>
    <row r="163" customFormat="false" ht="15" hidden="false" customHeight="true" outlineLevel="0" collapsed="false">
      <c r="A163" s="10"/>
      <c r="B163" s="10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0"/>
    </row>
    <row r="164" customFormat="false" ht="15" hidden="false" customHeight="true" outlineLevel="0" collapsed="false">
      <c r="A164" s="10"/>
      <c r="B164" s="10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0"/>
    </row>
    <row r="165" customFormat="false" ht="15" hidden="false" customHeight="true" outlineLevel="0" collapsed="false">
      <c r="A165" s="10"/>
      <c r="B165" s="1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0"/>
    </row>
    <row r="166" customFormat="false" ht="15" hidden="false" customHeight="true" outlineLevel="0" collapsed="false">
      <c r="A166" s="10"/>
      <c r="B166" s="10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0"/>
    </row>
    <row r="167" customFormat="false" ht="15" hidden="false" customHeight="true" outlineLevel="0" collapsed="false">
      <c r="A167" s="10"/>
      <c r="B167" s="10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0"/>
    </row>
    <row r="168" customFormat="false" ht="15" hidden="false" customHeight="true" outlineLevel="0" collapsed="false">
      <c r="A168" s="10"/>
      <c r="B168" s="10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0"/>
    </row>
    <row r="169" customFormat="false" ht="15" hidden="false" customHeight="true" outlineLevel="0" collapsed="false">
      <c r="A169" s="10"/>
      <c r="B169" s="10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0"/>
    </row>
    <row r="170" customFormat="false" ht="15" hidden="false" customHeight="true" outlineLevel="0" collapsed="false">
      <c r="A170" s="10"/>
      <c r="B170" s="10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0"/>
    </row>
    <row r="171" customFormat="false" ht="15" hidden="false" customHeight="true" outlineLevel="0" collapsed="false">
      <c r="A171" s="10"/>
      <c r="B171" s="10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0"/>
    </row>
    <row r="172" customFormat="false" ht="15" hidden="false" customHeight="true" outlineLevel="0" collapsed="false">
      <c r="A172" s="10"/>
      <c r="B172" s="10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0"/>
    </row>
    <row r="173" customFormat="false" ht="15" hidden="false" customHeight="true" outlineLevel="0" collapsed="false">
      <c r="A173" s="10"/>
      <c r="B173" s="10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0"/>
    </row>
    <row r="174" customFormat="false" ht="15" hidden="false" customHeight="true" outlineLevel="0" collapsed="false">
      <c r="A174" s="10"/>
      <c r="B174" s="10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0"/>
    </row>
    <row r="175" customFormat="false" ht="15" hidden="false" customHeight="true" outlineLevel="0" collapsed="false">
      <c r="A175" s="10"/>
      <c r="B175" s="10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0"/>
    </row>
    <row r="176" customFormat="false" ht="15" hidden="false" customHeight="true" outlineLevel="0" collapsed="false">
      <c r="A176" s="10"/>
      <c r="B176" s="10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0"/>
    </row>
    <row r="177" customFormat="false" ht="15" hidden="false" customHeight="true" outlineLevel="0" collapsed="false">
      <c r="A177" s="10"/>
      <c r="B177" s="10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0"/>
    </row>
    <row r="178" customFormat="false" ht="15" hidden="false" customHeight="true" outlineLevel="0" collapsed="false">
      <c r="A178" s="10"/>
      <c r="B178" s="10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0"/>
    </row>
    <row r="179" customFormat="false" ht="15" hidden="false" customHeight="true" outlineLevel="0" collapsed="false">
      <c r="A179" s="10"/>
      <c r="B179" s="10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0"/>
    </row>
    <row r="180" customFormat="false" ht="15" hidden="false" customHeight="true" outlineLevel="0" collapsed="false">
      <c r="A180" s="10"/>
      <c r="B180" s="10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0"/>
    </row>
    <row r="181" customFormat="false" ht="15" hidden="false" customHeight="true" outlineLevel="0" collapsed="false">
      <c r="A181" s="10"/>
      <c r="B181" s="10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0"/>
    </row>
    <row r="182" customFormat="false" ht="15" hidden="false" customHeight="true" outlineLevel="0" collapsed="false">
      <c r="A182" s="10"/>
      <c r="B182" s="10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0"/>
    </row>
    <row r="183" customFormat="false" ht="15" hidden="false" customHeight="true" outlineLevel="0" collapsed="false">
      <c r="A183" s="10"/>
      <c r="B183" s="10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0"/>
    </row>
    <row r="184" customFormat="false" ht="15" hidden="false" customHeight="true" outlineLevel="0" collapsed="false">
      <c r="A184" s="10"/>
      <c r="B184" s="10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0"/>
    </row>
    <row r="185" customFormat="false" ht="15" hidden="false" customHeight="true" outlineLevel="0" collapsed="false">
      <c r="A185" s="10"/>
      <c r="B185" s="10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0"/>
    </row>
    <row r="186" customFormat="false" ht="15" hidden="false" customHeight="true" outlineLevel="0" collapsed="false">
      <c r="A186" s="10"/>
      <c r="B186" s="10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0"/>
    </row>
    <row r="187" customFormat="false" ht="15" hidden="false" customHeight="true" outlineLevel="0" collapsed="false">
      <c r="A187" s="10"/>
      <c r="B187" s="10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0"/>
    </row>
    <row r="188" customFormat="false" ht="15" hidden="false" customHeight="true" outlineLevel="0" collapsed="false">
      <c r="A188" s="10"/>
      <c r="B188" s="10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0"/>
    </row>
    <row r="189" customFormat="false" ht="15" hidden="false" customHeight="true" outlineLevel="0" collapsed="false">
      <c r="A189" s="10"/>
      <c r="B189" s="10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0"/>
    </row>
    <row r="190" customFormat="false" ht="15" hidden="false" customHeight="true" outlineLevel="0" collapsed="false">
      <c r="A190" s="10"/>
      <c r="B190" s="10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0"/>
    </row>
    <row r="191" customFormat="false" ht="15" hidden="false" customHeight="true" outlineLevel="0" collapsed="false">
      <c r="A191" s="10"/>
      <c r="B191" s="10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0"/>
    </row>
    <row r="192" customFormat="false" ht="15" hidden="false" customHeight="true" outlineLevel="0" collapsed="false">
      <c r="A192" s="10"/>
      <c r="B192" s="10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0"/>
    </row>
    <row r="193" customFormat="false" ht="15" hidden="false" customHeight="true" outlineLevel="0" collapsed="false">
      <c r="A193" s="10"/>
      <c r="B193" s="10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0"/>
    </row>
    <row r="194" customFormat="false" ht="15" hidden="false" customHeight="true" outlineLevel="0" collapsed="false">
      <c r="A194" s="10"/>
      <c r="B194" s="10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0"/>
    </row>
    <row r="195" customFormat="false" ht="15" hidden="false" customHeight="true" outlineLevel="0" collapsed="false">
      <c r="A195" s="10"/>
      <c r="B195" s="10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0"/>
    </row>
    <row r="196" customFormat="false" ht="15" hidden="false" customHeight="true" outlineLevel="0" collapsed="false">
      <c r="A196" s="10"/>
      <c r="B196" s="10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0"/>
    </row>
    <row r="197" customFormat="false" ht="15" hidden="false" customHeight="true" outlineLevel="0" collapsed="false">
      <c r="A197" s="10"/>
      <c r="B197" s="10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0"/>
    </row>
    <row r="198" customFormat="false" ht="15" hidden="false" customHeight="true" outlineLevel="0" collapsed="false">
      <c r="A198" s="10"/>
      <c r="B198" s="10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0"/>
    </row>
    <row r="199" customFormat="false" ht="15" hidden="false" customHeight="true" outlineLevel="0" collapsed="false">
      <c r="A199" s="10"/>
      <c r="B199" s="10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0"/>
    </row>
    <row r="200" customFormat="false" ht="15" hidden="false" customHeight="true" outlineLevel="0" collapsed="false">
      <c r="A200" s="10"/>
      <c r="B200" s="10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0"/>
    </row>
    <row r="201" customFormat="false" ht="15" hidden="false" customHeight="true" outlineLevel="0" collapsed="false">
      <c r="A201" s="10"/>
      <c r="B201" s="10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0"/>
    </row>
    <row r="202" customFormat="false" ht="15" hidden="false" customHeight="true" outlineLevel="0" collapsed="false">
      <c r="A202" s="10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0"/>
    </row>
    <row r="203" customFormat="false" ht="15" hidden="false" customHeight="true" outlineLevel="0" collapsed="false">
      <c r="A203" s="10"/>
      <c r="B203" s="10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0"/>
    </row>
    <row r="204" customFormat="false" ht="15" hidden="false" customHeight="true" outlineLevel="0" collapsed="false">
      <c r="A204" s="10"/>
      <c r="B204" s="10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0"/>
    </row>
    <row r="205" customFormat="false" ht="15" hidden="false" customHeight="true" outlineLevel="0" collapsed="false">
      <c r="A205" s="10"/>
      <c r="B205" s="10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0"/>
    </row>
    <row r="206" customFormat="false" ht="15" hidden="false" customHeight="true" outlineLevel="0" collapsed="false">
      <c r="A206" s="10"/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0"/>
    </row>
    <row r="207" customFormat="false" ht="15" hidden="false" customHeight="true" outlineLevel="0" collapsed="false">
      <c r="A207" s="10"/>
      <c r="B207" s="10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0"/>
    </row>
    <row r="208" customFormat="false" ht="15" hidden="false" customHeight="true" outlineLevel="0" collapsed="false">
      <c r="A208" s="10"/>
      <c r="B208" s="10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0"/>
    </row>
    <row r="209" customFormat="false" ht="15" hidden="false" customHeight="true" outlineLevel="0" collapsed="false">
      <c r="A209" s="10"/>
      <c r="B209" s="10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0"/>
    </row>
    <row r="210" customFormat="false" ht="15" hidden="false" customHeight="true" outlineLevel="0" collapsed="false">
      <c r="A210" s="10"/>
      <c r="B210" s="10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0"/>
    </row>
    <row r="211" customFormat="false" ht="15" hidden="false" customHeight="true" outlineLevel="0" collapsed="false">
      <c r="A211" s="10"/>
      <c r="B211" s="10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0"/>
    </row>
    <row r="212" customFormat="false" ht="15" hidden="false" customHeight="true" outlineLevel="0" collapsed="false">
      <c r="A212" s="10"/>
      <c r="B212" s="10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0"/>
    </row>
    <row r="213" customFormat="false" ht="15" hidden="false" customHeight="true" outlineLevel="0" collapsed="false">
      <c r="A213" s="10"/>
      <c r="B213" s="10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0"/>
    </row>
    <row r="214" customFormat="false" ht="15" hidden="false" customHeight="true" outlineLevel="0" collapsed="false">
      <c r="A214" s="10"/>
      <c r="B214" s="10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0"/>
    </row>
    <row r="215" customFormat="false" ht="15" hidden="false" customHeight="true" outlineLevel="0" collapsed="false">
      <c r="A215" s="10"/>
      <c r="B215" s="10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0"/>
    </row>
    <row r="216" customFormat="false" ht="15" hidden="false" customHeight="true" outlineLevel="0" collapsed="false">
      <c r="A216" s="10"/>
      <c r="B216" s="10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0"/>
    </row>
    <row r="217" customFormat="false" ht="15" hidden="false" customHeight="true" outlineLevel="0" collapsed="false">
      <c r="A217" s="10"/>
      <c r="B217" s="10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0"/>
    </row>
    <row r="218" customFormat="false" ht="15" hidden="false" customHeight="true" outlineLevel="0" collapsed="false">
      <c r="A218" s="10"/>
      <c r="B218" s="10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0"/>
    </row>
    <row r="219" customFormat="false" ht="15" hidden="false" customHeight="true" outlineLevel="0" collapsed="false">
      <c r="A219" s="10"/>
      <c r="B219" s="10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0"/>
    </row>
    <row r="220" customFormat="false" ht="15" hidden="false" customHeight="true" outlineLevel="0" collapsed="false">
      <c r="A220" s="10"/>
      <c r="B220" s="10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0"/>
    </row>
    <row r="221" customFormat="false" ht="15" hidden="false" customHeight="true" outlineLevel="0" collapsed="false">
      <c r="A221" s="10"/>
      <c r="B221" s="10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0"/>
    </row>
    <row r="222" customFormat="false" ht="15" hidden="false" customHeight="true" outlineLevel="0" collapsed="false">
      <c r="A222" s="10"/>
      <c r="B222" s="10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0"/>
    </row>
    <row r="223" customFormat="false" ht="15" hidden="false" customHeight="true" outlineLevel="0" collapsed="false">
      <c r="A223" s="10"/>
      <c r="B223" s="10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0"/>
    </row>
    <row r="224" customFormat="false" ht="15" hidden="false" customHeight="true" outlineLevel="0" collapsed="false">
      <c r="A224" s="10"/>
      <c r="B224" s="10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0"/>
    </row>
    <row r="225" customFormat="false" ht="15" hidden="false" customHeight="true" outlineLevel="0" collapsed="false">
      <c r="A225" s="10"/>
      <c r="B225" s="10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0"/>
    </row>
    <row r="226" customFormat="false" ht="15" hidden="false" customHeight="true" outlineLevel="0" collapsed="false">
      <c r="A226" s="10"/>
      <c r="B226" s="10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0"/>
    </row>
    <row r="227" customFormat="false" ht="15" hidden="false" customHeight="true" outlineLevel="0" collapsed="false">
      <c r="A227" s="10"/>
      <c r="B227" s="10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0"/>
    </row>
    <row r="228" customFormat="false" ht="15" hidden="false" customHeight="true" outlineLevel="0" collapsed="false">
      <c r="A228" s="10"/>
      <c r="B228" s="10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0"/>
    </row>
    <row r="229" customFormat="false" ht="15" hidden="false" customHeight="true" outlineLevel="0" collapsed="false">
      <c r="A229" s="10"/>
      <c r="B229" s="10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0"/>
    </row>
    <row r="230" customFormat="false" ht="15" hidden="false" customHeight="true" outlineLevel="0" collapsed="false">
      <c r="A230" s="10"/>
      <c r="B230" s="10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0"/>
    </row>
    <row r="231" customFormat="false" ht="15" hidden="false" customHeight="true" outlineLevel="0" collapsed="false">
      <c r="A231" s="10"/>
      <c r="B231" s="10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0"/>
    </row>
    <row r="232" customFormat="false" ht="15" hidden="false" customHeight="true" outlineLevel="0" collapsed="false">
      <c r="A232" s="10"/>
      <c r="B232" s="10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0"/>
    </row>
    <row r="233" customFormat="false" ht="15" hidden="false" customHeight="true" outlineLevel="0" collapsed="false">
      <c r="A233" s="10"/>
      <c r="B233" s="10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0"/>
    </row>
    <row r="234" customFormat="false" ht="15" hidden="false" customHeight="true" outlineLevel="0" collapsed="false">
      <c r="A234" s="10"/>
      <c r="B234" s="10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0"/>
    </row>
    <row r="235" customFormat="false" ht="15" hidden="false" customHeight="true" outlineLevel="0" collapsed="false">
      <c r="A235" s="10"/>
      <c r="B235" s="10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0"/>
    </row>
    <row r="236" customFormat="false" ht="15" hidden="false" customHeight="true" outlineLevel="0" collapsed="false">
      <c r="A236" s="10"/>
      <c r="B236" s="10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0"/>
    </row>
    <row r="237" customFormat="false" ht="15" hidden="false" customHeight="true" outlineLevel="0" collapsed="false">
      <c r="A237" s="10"/>
      <c r="B237" s="10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0"/>
    </row>
    <row r="238" customFormat="false" ht="15" hidden="false" customHeight="true" outlineLevel="0" collapsed="false">
      <c r="A238" s="10"/>
      <c r="B238" s="10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0"/>
    </row>
    <row r="239" customFormat="false" ht="15" hidden="false" customHeight="true" outlineLevel="0" collapsed="false">
      <c r="A239" s="10"/>
      <c r="B239" s="10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0"/>
    </row>
    <row r="240" customFormat="false" ht="15" hidden="false" customHeight="true" outlineLevel="0" collapsed="false">
      <c r="A240" s="10"/>
      <c r="B240" s="10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0"/>
    </row>
    <row r="241" customFormat="false" ht="15" hidden="false" customHeight="true" outlineLevel="0" collapsed="false">
      <c r="A241" s="10"/>
      <c r="B241" s="10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0"/>
    </row>
    <row r="242" customFormat="false" ht="15" hidden="false" customHeight="true" outlineLevel="0" collapsed="false">
      <c r="A242" s="10"/>
      <c r="B242" s="10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0"/>
    </row>
    <row r="243" customFormat="false" ht="15" hidden="false" customHeight="true" outlineLevel="0" collapsed="false">
      <c r="A243" s="10"/>
      <c r="B243" s="10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0"/>
    </row>
    <row r="244" customFormat="false" ht="15" hidden="false" customHeight="true" outlineLevel="0" collapsed="false">
      <c r="A244" s="10"/>
      <c r="B244" s="10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0"/>
    </row>
    <row r="245" customFormat="false" ht="15" hidden="false" customHeight="true" outlineLevel="0" collapsed="false">
      <c r="A245" s="10"/>
      <c r="B245" s="10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0"/>
    </row>
    <row r="246" customFormat="false" ht="15" hidden="false" customHeight="true" outlineLevel="0" collapsed="false">
      <c r="A246" s="10"/>
      <c r="B246" s="10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0"/>
    </row>
    <row r="247" customFormat="false" ht="15" hidden="false" customHeight="true" outlineLevel="0" collapsed="false">
      <c r="A247" s="10"/>
      <c r="B247" s="10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0"/>
    </row>
    <row r="248" customFormat="false" ht="15" hidden="false" customHeight="true" outlineLevel="0" collapsed="false">
      <c r="A248" s="10"/>
      <c r="B248" s="10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0"/>
    </row>
    <row r="249" customFormat="false" ht="15" hidden="false" customHeight="true" outlineLevel="0" collapsed="false">
      <c r="A249" s="10"/>
      <c r="B249" s="10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0"/>
    </row>
    <row r="250" customFormat="false" ht="15" hidden="false" customHeight="true" outlineLevel="0" collapsed="false">
      <c r="A250" s="10"/>
      <c r="B250" s="10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0"/>
    </row>
    <row r="251" customFormat="false" ht="15" hidden="false" customHeight="true" outlineLevel="0" collapsed="false">
      <c r="A251" s="10"/>
      <c r="B251" s="10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0"/>
    </row>
    <row r="252" customFormat="false" ht="15" hidden="false" customHeight="true" outlineLevel="0" collapsed="false">
      <c r="A252" s="10"/>
      <c r="B252" s="10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0"/>
    </row>
    <row r="253" customFormat="false" ht="15" hidden="false" customHeight="true" outlineLevel="0" collapsed="false">
      <c r="A253" s="10"/>
      <c r="B253" s="10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0"/>
    </row>
    <row r="254" customFormat="false" ht="15" hidden="false" customHeight="true" outlineLevel="0" collapsed="false">
      <c r="A254" s="10"/>
      <c r="B254" s="10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0"/>
    </row>
    <row r="255" customFormat="false" ht="15" hidden="false" customHeight="true" outlineLevel="0" collapsed="false">
      <c r="A255" s="10"/>
      <c r="B255" s="10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0"/>
    </row>
    <row r="256" customFormat="false" ht="15" hidden="false" customHeight="true" outlineLevel="0" collapsed="false">
      <c r="A256" s="10"/>
      <c r="B256" s="10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0"/>
    </row>
    <row r="257" customFormat="false" ht="15" hidden="false" customHeight="true" outlineLevel="0" collapsed="false">
      <c r="A257" s="10"/>
      <c r="B257" s="10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0"/>
    </row>
    <row r="258" customFormat="false" ht="15" hidden="false" customHeight="true" outlineLevel="0" collapsed="false">
      <c r="A258" s="10"/>
      <c r="B258" s="10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0"/>
    </row>
    <row r="259" customFormat="false" ht="15" hidden="false" customHeight="true" outlineLevel="0" collapsed="false">
      <c r="A259" s="10"/>
      <c r="B259" s="10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0"/>
    </row>
    <row r="260" customFormat="false" ht="15" hidden="false" customHeight="true" outlineLevel="0" collapsed="false">
      <c r="A260" s="10"/>
      <c r="B260" s="10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0"/>
    </row>
    <row r="261" customFormat="false" ht="15" hidden="false" customHeight="true" outlineLevel="0" collapsed="false">
      <c r="A261" s="10"/>
      <c r="B261" s="10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0"/>
    </row>
    <row r="262" customFormat="false" ht="15" hidden="false" customHeight="true" outlineLevel="0" collapsed="false">
      <c r="A262" s="10"/>
      <c r="B262" s="10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0"/>
    </row>
    <row r="263" customFormat="false" ht="15" hidden="false" customHeight="true" outlineLevel="0" collapsed="false">
      <c r="A263" s="10"/>
      <c r="B263" s="10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0"/>
    </row>
    <row r="264" customFormat="false" ht="15" hidden="false" customHeight="true" outlineLevel="0" collapsed="false">
      <c r="A264" s="10"/>
      <c r="B264" s="10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0"/>
    </row>
    <row r="265" customFormat="false" ht="15" hidden="false" customHeight="true" outlineLevel="0" collapsed="false">
      <c r="A265" s="10"/>
      <c r="B265" s="10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0"/>
    </row>
    <row r="266" customFormat="false" ht="15" hidden="false" customHeight="true" outlineLevel="0" collapsed="false">
      <c r="A266" s="10"/>
      <c r="B266" s="10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0"/>
    </row>
    <row r="267" customFormat="false" ht="15" hidden="false" customHeight="true" outlineLevel="0" collapsed="false">
      <c r="A267" s="10"/>
      <c r="B267" s="10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0"/>
    </row>
    <row r="268" customFormat="false" ht="15" hidden="false" customHeight="true" outlineLevel="0" collapsed="false">
      <c r="A268" s="10"/>
      <c r="B268" s="10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0"/>
    </row>
    <row r="269" customFormat="false" ht="15" hidden="false" customHeight="true" outlineLevel="0" collapsed="false">
      <c r="A269" s="10"/>
      <c r="B269" s="10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0"/>
    </row>
    <row r="270" customFormat="false" ht="15" hidden="false" customHeight="true" outlineLevel="0" collapsed="false">
      <c r="A270" s="10"/>
      <c r="B270" s="10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0"/>
    </row>
    <row r="271" customFormat="false" ht="15" hidden="false" customHeight="true" outlineLevel="0" collapsed="false">
      <c r="A271" s="10"/>
      <c r="B271" s="10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0"/>
    </row>
    <row r="272" customFormat="false" ht="15" hidden="false" customHeight="true" outlineLevel="0" collapsed="false">
      <c r="A272" s="10"/>
      <c r="B272" s="10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0"/>
    </row>
    <row r="273" customFormat="false" ht="15" hidden="false" customHeight="true" outlineLevel="0" collapsed="false">
      <c r="A273" s="10"/>
      <c r="B273" s="10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0"/>
    </row>
    <row r="274" customFormat="false" ht="15" hidden="false" customHeight="true" outlineLevel="0" collapsed="false">
      <c r="A274" s="10"/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0"/>
    </row>
    <row r="275" customFormat="false" ht="15" hidden="false" customHeight="true" outlineLevel="0" collapsed="false">
      <c r="A275" s="10"/>
      <c r="B275" s="10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0"/>
    </row>
    <row r="276" customFormat="false" ht="15" hidden="false" customHeight="true" outlineLevel="0" collapsed="false">
      <c r="A276" s="10"/>
      <c r="B276" s="10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0"/>
    </row>
    <row r="277" customFormat="false" ht="15" hidden="false" customHeight="true" outlineLevel="0" collapsed="false">
      <c r="A277" s="10"/>
      <c r="B277" s="10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0"/>
    </row>
    <row r="278" customFormat="false" ht="15" hidden="false" customHeight="true" outlineLevel="0" collapsed="false">
      <c r="A278" s="10"/>
      <c r="B278" s="10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0"/>
    </row>
    <row r="279" customFormat="false" ht="15" hidden="false" customHeight="true" outlineLevel="0" collapsed="false">
      <c r="A279" s="10"/>
      <c r="B279" s="10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0"/>
    </row>
    <row r="280" customFormat="false" ht="15" hidden="false" customHeight="true" outlineLevel="0" collapsed="false">
      <c r="A280" s="10"/>
      <c r="B280" s="10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0"/>
    </row>
    <row r="281" customFormat="false" ht="15" hidden="false" customHeight="true" outlineLevel="0" collapsed="false">
      <c r="A281" s="10"/>
      <c r="B281" s="10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0"/>
    </row>
    <row r="282" customFormat="false" ht="15" hidden="false" customHeight="true" outlineLevel="0" collapsed="false">
      <c r="A282" s="10"/>
      <c r="B282" s="10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0"/>
    </row>
    <row r="283" customFormat="false" ht="15" hidden="false" customHeight="true" outlineLevel="0" collapsed="false">
      <c r="A283" s="10"/>
      <c r="B283" s="10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0"/>
    </row>
    <row r="284" customFormat="false" ht="15" hidden="false" customHeight="true" outlineLevel="0" collapsed="false">
      <c r="A284" s="10"/>
      <c r="B284" s="10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0"/>
    </row>
    <row r="285" customFormat="false" ht="15" hidden="false" customHeight="true" outlineLevel="0" collapsed="false">
      <c r="A285" s="10"/>
      <c r="B285" s="10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0"/>
    </row>
    <row r="286" customFormat="false" ht="15" hidden="false" customHeight="true" outlineLevel="0" collapsed="false">
      <c r="A286" s="10"/>
      <c r="B286" s="10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0"/>
    </row>
    <row r="287" customFormat="false" ht="15" hidden="false" customHeight="true" outlineLevel="0" collapsed="false">
      <c r="A287" s="10"/>
      <c r="B287" s="10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0"/>
    </row>
    <row r="288" customFormat="false" ht="15" hidden="false" customHeight="true" outlineLevel="0" collapsed="false">
      <c r="A288" s="10"/>
      <c r="B288" s="10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0"/>
    </row>
    <row r="289" customFormat="false" ht="15" hidden="false" customHeight="true" outlineLevel="0" collapsed="false">
      <c r="A289" s="10"/>
      <c r="B289" s="10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0"/>
    </row>
    <row r="290" customFormat="false" ht="15" hidden="false" customHeight="true" outlineLevel="0" collapsed="false">
      <c r="A290" s="10"/>
      <c r="B290" s="10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0"/>
    </row>
    <row r="291" customFormat="false" ht="15" hidden="false" customHeight="true" outlineLevel="0" collapsed="false">
      <c r="A291" s="10"/>
      <c r="B291" s="10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0"/>
    </row>
    <row r="292" customFormat="false" ht="15" hidden="false" customHeight="true" outlineLevel="0" collapsed="false">
      <c r="A292" s="10"/>
      <c r="B292" s="10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0"/>
    </row>
    <row r="293" customFormat="false" ht="15" hidden="false" customHeight="true" outlineLevel="0" collapsed="false">
      <c r="A293" s="10"/>
      <c r="B293" s="10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0"/>
    </row>
    <row r="294" customFormat="false" ht="15" hidden="false" customHeight="true" outlineLevel="0" collapsed="false">
      <c r="A294" s="10"/>
      <c r="B294" s="10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0"/>
    </row>
    <row r="295" customFormat="false" ht="15" hidden="false" customHeight="true" outlineLevel="0" collapsed="false">
      <c r="A295" s="10"/>
      <c r="B295" s="10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0"/>
    </row>
    <row r="296" customFormat="false" ht="15" hidden="false" customHeight="true" outlineLevel="0" collapsed="false">
      <c r="A296" s="10"/>
      <c r="B296" s="10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0"/>
    </row>
    <row r="297" customFormat="false" ht="15" hidden="false" customHeight="true" outlineLevel="0" collapsed="false">
      <c r="A297" s="10"/>
      <c r="B297" s="10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0"/>
    </row>
    <row r="298" customFormat="false" ht="15" hidden="false" customHeight="true" outlineLevel="0" collapsed="false">
      <c r="A298" s="10"/>
      <c r="B298" s="10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0"/>
    </row>
    <row r="299" customFormat="false" ht="15" hidden="false" customHeight="true" outlineLevel="0" collapsed="false">
      <c r="A299" s="10"/>
      <c r="B299" s="10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0"/>
    </row>
    <row r="300" customFormat="false" ht="15" hidden="false" customHeight="true" outlineLevel="0" collapsed="false">
      <c r="A300" s="10"/>
      <c r="B300" s="10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0"/>
    </row>
    <row r="301" customFormat="false" ht="15" hidden="false" customHeight="true" outlineLevel="0" collapsed="false">
      <c r="A301" s="10"/>
      <c r="B301" s="10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0"/>
    </row>
    <row r="302" customFormat="false" ht="15" hidden="false" customHeight="true" outlineLevel="0" collapsed="false">
      <c r="A302" s="10"/>
      <c r="B302" s="10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0"/>
    </row>
    <row r="303" customFormat="false" ht="15" hidden="false" customHeight="true" outlineLevel="0" collapsed="false">
      <c r="A303" s="10"/>
      <c r="B303" s="10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0"/>
    </row>
    <row r="304" customFormat="false" ht="15" hidden="false" customHeight="true" outlineLevel="0" collapsed="false">
      <c r="A304" s="10"/>
      <c r="B304" s="10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0"/>
    </row>
    <row r="305" customFormat="false" ht="15" hidden="false" customHeight="true" outlineLevel="0" collapsed="false">
      <c r="A305" s="10"/>
      <c r="B305" s="10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0"/>
    </row>
    <row r="306" customFormat="false" ht="15" hidden="false" customHeight="true" outlineLevel="0" collapsed="false">
      <c r="A306" s="10"/>
      <c r="B306" s="10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0"/>
    </row>
  </sheetData>
  <mergeCells count="3">
    <mergeCell ref="C4:F4"/>
    <mergeCell ref="G4:J4"/>
    <mergeCell ref="K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14" min="3" style="1" width="13"/>
    <col collapsed="false" customWidth="true" hidden="false" outlineLevel="0" max="15" min="15" style="1" width="26"/>
  </cols>
  <sheetData>
    <row r="1" customFormat="false" ht="15" hidden="false" customHeight="true" outlineLevel="0" collapsed="false">
      <c r="A1" s="2" t="s">
        <v>24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C4" s="4" t="s">
        <v>2</v>
      </c>
      <c r="D4" s="4"/>
      <c r="E4" s="4"/>
      <c r="F4" s="4"/>
      <c r="G4" s="5" t="s">
        <v>3</v>
      </c>
      <c r="H4" s="5"/>
      <c r="I4" s="5"/>
      <c r="J4" s="5"/>
      <c r="K4" s="6" t="s">
        <v>4</v>
      </c>
      <c r="L4" s="6"/>
      <c r="M4" s="6"/>
      <c r="N4" s="6"/>
    </row>
    <row r="5" customFormat="false" ht="45" hidden="false" customHeight="true" outlineLevel="0" collapsed="false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7</v>
      </c>
      <c r="L5" s="7" t="s">
        <v>8</v>
      </c>
      <c r="M5" s="7" t="s">
        <v>9</v>
      </c>
      <c r="N5" s="7" t="s">
        <v>10</v>
      </c>
      <c r="O5" s="7" t="s">
        <v>11</v>
      </c>
    </row>
    <row r="6" customFormat="false" ht="15" hidden="false" customHeight="true" outlineLevel="0" collapsed="false">
      <c r="A6" s="8" t="s">
        <v>12</v>
      </c>
      <c r="B6" s="8" t="s">
        <v>13</v>
      </c>
      <c r="C6" s="9" t="n">
        <v>9000</v>
      </c>
      <c r="D6" s="9" t="n">
        <v>6500</v>
      </c>
      <c r="E6" s="9" t="n">
        <v>12000</v>
      </c>
      <c r="F6" s="9" t="n">
        <v>300</v>
      </c>
      <c r="G6" s="9" t="n">
        <v>8000</v>
      </c>
      <c r="H6" s="9" t="n">
        <v>5800</v>
      </c>
      <c r="I6" s="9" t="n">
        <v>11000</v>
      </c>
      <c r="J6" s="9" t="n">
        <v>250</v>
      </c>
      <c r="K6" s="9" t="n">
        <v>6500</v>
      </c>
      <c r="L6" s="9" t="n">
        <v>4800</v>
      </c>
      <c r="M6" s="9" t="n">
        <v>9500</v>
      </c>
      <c r="N6" s="9" t="n">
        <v>200</v>
      </c>
      <c r="O6" s="8" t="s">
        <v>14</v>
      </c>
    </row>
    <row r="7" customFormat="false" ht="15" hidden="false" customHeight="true" outlineLevel="0" collapsed="false">
      <c r="A7" s="10" t="s">
        <v>15</v>
      </c>
      <c r="B7" s="10" t="s">
        <v>25</v>
      </c>
      <c r="C7" s="11" t="n">
        <v>15013</v>
      </c>
      <c r="D7" s="11" t="n">
        <v>10919</v>
      </c>
      <c r="E7" s="11" t="n">
        <v>15355</v>
      </c>
      <c r="F7" s="11" t="n">
        <v>384</v>
      </c>
      <c r="G7" s="11" t="n">
        <v>17743</v>
      </c>
      <c r="H7" s="11" t="n">
        <v>12966</v>
      </c>
      <c r="I7" s="11" t="n">
        <v>18084</v>
      </c>
      <c r="J7" s="11" t="n">
        <v>480</v>
      </c>
      <c r="K7" s="11" t="n">
        <v>20473</v>
      </c>
      <c r="L7" s="11" t="n">
        <v>15355</v>
      </c>
      <c r="M7" s="11" t="n">
        <v>21155</v>
      </c>
      <c r="N7" s="11" t="n">
        <v>600</v>
      </c>
      <c r="O7" s="10" t="s">
        <v>26</v>
      </c>
    </row>
    <row r="8" customFormat="false" ht="15" hidden="false" customHeight="true" outlineLevel="0" collapsed="false">
      <c r="A8" s="10" t="s">
        <v>15</v>
      </c>
      <c r="B8" s="10" t="s">
        <v>27</v>
      </c>
      <c r="C8" s="11" t="n">
        <v>18426</v>
      </c>
      <c r="D8" s="11" t="n">
        <v>13649</v>
      </c>
      <c r="E8" s="11" t="n">
        <v>18767</v>
      </c>
      <c r="F8" s="11" t="n">
        <v>512</v>
      </c>
      <c r="G8" s="11" t="n">
        <v>21496</v>
      </c>
      <c r="H8" s="11" t="n">
        <v>16037</v>
      </c>
      <c r="I8" s="11" t="n">
        <v>22179</v>
      </c>
      <c r="J8" s="11" t="n">
        <v>640</v>
      </c>
      <c r="K8" s="11" t="n">
        <v>24909</v>
      </c>
      <c r="L8" s="11" t="n">
        <v>18426</v>
      </c>
      <c r="M8" s="11" t="n">
        <v>25591</v>
      </c>
      <c r="N8" s="11" t="n">
        <v>800</v>
      </c>
      <c r="O8" s="10" t="s">
        <v>26</v>
      </c>
    </row>
    <row r="9" customFormat="false" ht="15" hidden="false" customHeight="true" outlineLevel="0" collapsed="false">
      <c r="A9" s="10" t="s">
        <v>15</v>
      </c>
      <c r="B9" s="10" t="s">
        <v>28</v>
      </c>
      <c r="C9" s="11" t="n">
        <v>26615</v>
      </c>
      <c r="D9" s="11" t="n">
        <v>18767</v>
      </c>
      <c r="E9" s="11" t="n">
        <v>26615</v>
      </c>
      <c r="F9" s="11" t="n">
        <v>640</v>
      </c>
      <c r="G9" s="11" t="n">
        <v>31050</v>
      </c>
      <c r="H9" s="11" t="n">
        <v>22520</v>
      </c>
      <c r="I9" s="11" t="n">
        <v>31392</v>
      </c>
      <c r="J9" s="11" t="n">
        <v>800</v>
      </c>
      <c r="K9" s="11" t="n">
        <v>36169</v>
      </c>
      <c r="L9" s="11" t="n">
        <v>26273</v>
      </c>
      <c r="M9" s="11" t="n">
        <v>36851</v>
      </c>
      <c r="N9" s="11" t="n">
        <v>1000</v>
      </c>
      <c r="O9" s="10" t="s">
        <v>26</v>
      </c>
    </row>
    <row r="10" customFormat="false" ht="15" hidden="false" customHeight="true" outlineLevel="0" collapsed="false">
      <c r="A10" s="10" t="s">
        <v>15</v>
      </c>
      <c r="B10" s="10" t="s">
        <v>29</v>
      </c>
      <c r="C10" s="11" t="n">
        <v>26956</v>
      </c>
      <c r="D10" s="11" t="n">
        <v>20132</v>
      </c>
      <c r="E10" s="11" t="n">
        <v>29003</v>
      </c>
      <c r="F10" s="11" t="n">
        <v>768</v>
      </c>
      <c r="G10" s="11" t="n">
        <v>32074</v>
      </c>
      <c r="H10" s="11" t="n">
        <v>23885</v>
      </c>
      <c r="I10" s="11" t="n">
        <v>34121</v>
      </c>
      <c r="J10" s="11" t="n">
        <v>960</v>
      </c>
      <c r="K10" s="11" t="n">
        <v>37875</v>
      </c>
      <c r="L10" s="11" t="n">
        <v>28321</v>
      </c>
      <c r="M10" s="11" t="n">
        <v>39922</v>
      </c>
      <c r="N10" s="11" t="n">
        <v>1200</v>
      </c>
      <c r="O10" s="10" t="s">
        <v>26</v>
      </c>
    </row>
    <row r="11" customFormat="false" ht="15" hidden="false" customHeight="true" outlineLevel="0" collapsed="false">
      <c r="A11" s="10" t="s">
        <v>15</v>
      </c>
      <c r="B11" s="10" t="s">
        <v>30</v>
      </c>
      <c r="C11" s="11" t="n">
        <v>31050</v>
      </c>
      <c r="D11" s="11" t="n">
        <v>22861</v>
      </c>
      <c r="E11" s="11" t="n">
        <v>32415</v>
      </c>
      <c r="F11" s="11" t="n">
        <v>896</v>
      </c>
      <c r="G11" s="11" t="n">
        <v>35827</v>
      </c>
      <c r="H11" s="11" t="n">
        <v>26956</v>
      </c>
      <c r="I11" s="11" t="n">
        <v>38216</v>
      </c>
      <c r="J11" s="11" t="n">
        <v>1120</v>
      </c>
      <c r="K11" s="11" t="n">
        <v>40946</v>
      </c>
      <c r="L11" s="11" t="n">
        <v>31050</v>
      </c>
      <c r="M11" s="11" t="n">
        <v>44358</v>
      </c>
      <c r="N11" s="11" t="n">
        <v>1400</v>
      </c>
      <c r="O11" s="10" t="s">
        <v>26</v>
      </c>
    </row>
    <row r="12" customFormat="false" ht="15" hidden="false" customHeight="true" outlineLevel="0" collapsed="false">
      <c r="A12" s="10" t="s">
        <v>15</v>
      </c>
      <c r="B12" s="10" t="s">
        <v>31</v>
      </c>
      <c r="C12" s="11" t="n">
        <v>33780</v>
      </c>
      <c r="D12" s="11" t="n">
        <v>25250</v>
      </c>
      <c r="E12" s="11" t="n">
        <v>35827</v>
      </c>
      <c r="F12" s="11" t="n">
        <v>1024</v>
      </c>
      <c r="G12" s="11" t="n">
        <v>38898</v>
      </c>
      <c r="H12" s="11" t="n">
        <v>29344</v>
      </c>
      <c r="I12" s="11" t="n">
        <v>41969</v>
      </c>
      <c r="J12" s="11" t="n">
        <v>1280</v>
      </c>
      <c r="K12" s="11" t="n">
        <v>44699</v>
      </c>
      <c r="L12" s="11" t="n">
        <v>34121</v>
      </c>
      <c r="M12" s="11" t="n">
        <v>48452</v>
      </c>
      <c r="N12" s="11" t="n">
        <v>1600</v>
      </c>
      <c r="O12" s="10" t="s">
        <v>26</v>
      </c>
    </row>
    <row r="13" customFormat="false" ht="15" hidden="false" customHeight="true" outlineLevel="0" collapsed="false">
      <c r="A13" s="10" t="s">
        <v>15</v>
      </c>
      <c r="B13" s="10" t="s">
        <v>32</v>
      </c>
      <c r="C13" s="11" t="n">
        <v>46746</v>
      </c>
      <c r="D13" s="11" t="n">
        <v>33439</v>
      </c>
      <c r="E13" s="11" t="n">
        <v>48452</v>
      </c>
      <c r="F13" s="11" t="n">
        <v>1152</v>
      </c>
      <c r="G13" s="11" t="n">
        <v>55277</v>
      </c>
      <c r="H13" s="11" t="n">
        <v>39922</v>
      </c>
      <c r="I13" s="11" t="n">
        <v>57665</v>
      </c>
      <c r="J13" s="11" t="n">
        <v>1440</v>
      </c>
      <c r="K13" s="11" t="n">
        <v>64489</v>
      </c>
      <c r="L13" s="11" t="n">
        <v>47088</v>
      </c>
      <c r="M13" s="11" t="n">
        <v>68584</v>
      </c>
      <c r="N13" s="11" t="n">
        <v>1800</v>
      </c>
      <c r="O13" s="10" t="s">
        <v>26</v>
      </c>
    </row>
    <row r="14" customFormat="false" ht="15" hidden="false" customHeight="true" outlineLevel="0" collapsed="false">
      <c r="A14" s="10" t="s">
        <v>15</v>
      </c>
      <c r="B14" s="10" t="s">
        <v>33</v>
      </c>
      <c r="C14" s="11" t="n">
        <v>50158</v>
      </c>
      <c r="D14" s="11" t="n">
        <v>36169</v>
      </c>
      <c r="E14" s="11" t="n">
        <v>52888</v>
      </c>
      <c r="F14" s="11" t="n">
        <v>1280</v>
      </c>
      <c r="G14" s="11" t="n">
        <v>59371</v>
      </c>
      <c r="H14" s="11" t="n">
        <v>43334</v>
      </c>
      <c r="I14" s="11" t="n">
        <v>62442</v>
      </c>
      <c r="J14" s="11" t="n">
        <v>1600</v>
      </c>
      <c r="K14" s="11" t="n">
        <v>70290</v>
      </c>
      <c r="L14" s="11" t="n">
        <v>51523</v>
      </c>
      <c r="M14" s="11" t="n">
        <v>73702</v>
      </c>
      <c r="N14" s="11" t="n">
        <v>2000</v>
      </c>
      <c r="O14" s="10" t="s">
        <v>26</v>
      </c>
    </row>
    <row r="15" customFormat="false" ht="15" hidden="false" customHeight="true" outlineLevel="0" collapsed="false">
      <c r="A15" s="10" t="s">
        <v>15</v>
      </c>
      <c r="B15" s="10" t="s">
        <v>34</v>
      </c>
      <c r="C15" s="11" t="n">
        <v>55959</v>
      </c>
      <c r="D15" s="11" t="n">
        <v>40741</v>
      </c>
      <c r="E15" s="11" t="n">
        <v>58689</v>
      </c>
      <c r="F15" s="11" t="n">
        <v>1472</v>
      </c>
      <c r="G15" s="11" t="n">
        <v>65718</v>
      </c>
      <c r="H15" s="11" t="n">
        <v>48214</v>
      </c>
      <c r="I15" s="11" t="n">
        <v>69608</v>
      </c>
      <c r="J15" s="11" t="n">
        <v>1840</v>
      </c>
      <c r="K15" s="11" t="n">
        <v>76261</v>
      </c>
      <c r="L15" s="11" t="n">
        <v>56334</v>
      </c>
      <c r="M15" s="11" t="n">
        <v>81209</v>
      </c>
      <c r="N15" s="11" t="n">
        <v>2300</v>
      </c>
      <c r="O15" s="10" t="s">
        <v>26</v>
      </c>
    </row>
    <row r="16" customFormat="false" ht="15" hidden="false" customHeight="true" outlineLevel="0" collapsed="false">
      <c r="A16" s="10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0"/>
    </row>
    <row r="17" customFormat="false" ht="15" hidden="false" customHeight="true" outlineLevel="0" collapsed="false">
      <c r="A17" s="10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0"/>
    </row>
    <row r="18" customFormat="false" ht="15" hidden="false" customHeight="true" outlineLevel="0" collapsed="false">
      <c r="A18" s="10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0"/>
    </row>
    <row r="19" customFormat="false" ht="15" hidden="false" customHeight="true" outlineLevel="0" collapsed="false">
      <c r="A19" s="10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0"/>
    </row>
    <row r="20" customFormat="false" ht="15" hidden="false" customHeight="true" outlineLevel="0" collapsed="false">
      <c r="A20" s="10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0"/>
    </row>
    <row r="21" customFormat="false" ht="15" hidden="false" customHeight="true" outlineLevel="0" collapsed="false">
      <c r="A21" s="10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0"/>
    </row>
    <row r="22" customFormat="false" ht="15" hidden="false" customHeight="true" outlineLevel="0" collapsed="false">
      <c r="A22" s="10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0"/>
    </row>
    <row r="23" customFormat="false" ht="15" hidden="false" customHeight="true" outlineLevel="0" collapsed="false">
      <c r="A23" s="10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0"/>
    </row>
    <row r="24" customFormat="false" ht="15" hidden="false" customHeight="true" outlineLevel="0" collapsed="false">
      <c r="A24" s="10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0"/>
    </row>
    <row r="25" customFormat="false" ht="15" hidden="false" customHeight="true" outlineLevel="0" collapsed="false">
      <c r="A25" s="10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0"/>
    </row>
    <row r="26" customFormat="false" ht="15" hidden="false" customHeight="true" outlineLevel="0" collapsed="false">
      <c r="A26" s="10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0"/>
    </row>
    <row r="27" customFormat="false" ht="15" hidden="false" customHeight="true" outlineLevel="0" collapsed="false">
      <c r="A27" s="10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0"/>
    </row>
    <row r="28" customFormat="false" ht="15" hidden="false" customHeight="true" outlineLevel="0" collapsed="false">
      <c r="A28" s="10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0"/>
    </row>
    <row r="29" customFormat="false" ht="15" hidden="false" customHeight="true" outlineLevel="0" collapsed="false">
      <c r="A29" s="10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0"/>
    </row>
    <row r="30" customFormat="false" ht="15" hidden="false" customHeight="true" outlineLevel="0" collapsed="false">
      <c r="A30" s="10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0"/>
    </row>
    <row r="31" customFormat="false" ht="15" hidden="false" customHeight="true" outlineLevel="0" collapsed="false">
      <c r="A31" s="10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0"/>
    </row>
    <row r="32" customFormat="false" ht="15" hidden="false" customHeight="true" outlineLevel="0" collapsed="false">
      <c r="A32" s="10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0"/>
    </row>
    <row r="33" customFormat="false" ht="15" hidden="false" customHeight="true" outlineLevel="0" collapsed="false">
      <c r="A33" s="10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0"/>
    </row>
    <row r="34" customFormat="false" ht="15" hidden="false" customHeight="true" outlineLevel="0" collapsed="false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0"/>
    </row>
    <row r="35" customFormat="false" ht="15" hidden="false" customHeight="true" outlineLevel="0" collapsed="false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0"/>
    </row>
    <row r="36" customFormat="false" ht="15" hidden="false" customHeight="true" outlineLevel="0" collapsed="false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0"/>
    </row>
    <row r="37" customFormat="false" ht="15" hidden="false" customHeight="true" outlineLevel="0" collapsed="false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0"/>
    </row>
    <row r="38" customFormat="false" ht="15" hidden="false" customHeight="true" outlineLevel="0" collapsed="false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0"/>
    </row>
    <row r="39" customFormat="false" ht="15" hidden="false" customHeight="true" outlineLevel="0" collapsed="false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0"/>
    </row>
    <row r="40" customFormat="false" ht="15" hidden="false" customHeight="true" outlineLevel="0" collapsed="false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0"/>
    </row>
    <row r="41" customFormat="false" ht="15" hidden="false" customHeight="true" outlineLevel="0" collapsed="false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0"/>
    </row>
    <row r="42" customFormat="false" ht="15" hidden="false" customHeight="true" outlineLevel="0" collapsed="false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0"/>
    </row>
    <row r="43" customFormat="false" ht="15" hidden="false" customHeight="true" outlineLevel="0" collapsed="false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0"/>
    </row>
    <row r="44" customFormat="false" ht="15" hidden="false" customHeight="true" outlineLevel="0" collapsed="false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0"/>
    </row>
    <row r="45" customFormat="false" ht="15" hidden="false" customHeight="true" outlineLevel="0" collapsed="false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0"/>
    </row>
    <row r="46" customFormat="false" ht="15" hidden="false" customHeight="true" outlineLevel="0" collapsed="false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0"/>
    </row>
    <row r="47" customFormat="false" ht="15" hidden="false" customHeight="true" outlineLevel="0" collapsed="false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0"/>
    </row>
    <row r="48" customFormat="false" ht="15" hidden="false" customHeight="true" outlineLevel="0" collapsed="false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0"/>
    </row>
    <row r="49" customFormat="false" ht="15" hidden="false" customHeight="true" outlineLevel="0" collapsed="false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0"/>
    </row>
    <row r="50" customFormat="false" ht="15" hidden="false" customHeight="true" outlineLevel="0" collapsed="false">
      <c r="A50" s="10"/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0"/>
    </row>
    <row r="51" customFormat="false" ht="15" hidden="false" customHeight="true" outlineLevel="0" collapsed="false">
      <c r="A51" s="10"/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0"/>
    </row>
    <row r="52" customFormat="false" ht="15" hidden="false" customHeight="true" outlineLevel="0" collapsed="false">
      <c r="A52" s="10"/>
      <c r="B52" s="1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0"/>
    </row>
    <row r="53" customFormat="false" ht="15" hidden="false" customHeight="true" outlineLevel="0" collapsed="false">
      <c r="A53" s="10"/>
      <c r="B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0"/>
    </row>
    <row r="54" customFormat="false" ht="15" hidden="false" customHeight="true" outlineLevel="0" collapsed="false">
      <c r="A54" s="10"/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0"/>
    </row>
    <row r="55" customFormat="false" ht="15" hidden="false" customHeight="true" outlineLevel="0" collapsed="false">
      <c r="A55" s="10"/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0"/>
    </row>
    <row r="56" customFormat="false" ht="15" hidden="false" customHeight="true" outlineLevel="0" collapsed="false">
      <c r="A56" s="10"/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0"/>
    </row>
    <row r="57" customFormat="false" ht="15" hidden="false" customHeight="true" outlineLevel="0" collapsed="false">
      <c r="A57" s="10"/>
      <c r="B57" s="1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0"/>
    </row>
    <row r="58" customFormat="false" ht="15" hidden="false" customHeight="true" outlineLevel="0" collapsed="false">
      <c r="A58" s="10"/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0"/>
    </row>
    <row r="59" customFormat="false" ht="15" hidden="false" customHeight="true" outlineLevel="0" collapsed="false">
      <c r="A59" s="10"/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0"/>
    </row>
    <row r="60" customFormat="false" ht="15" hidden="false" customHeight="true" outlineLevel="0" collapsed="false">
      <c r="A60" s="10"/>
      <c r="B60" s="10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0"/>
    </row>
    <row r="61" customFormat="false" ht="15" hidden="false" customHeight="true" outlineLevel="0" collapsed="false">
      <c r="A61" s="10"/>
      <c r="B61" s="1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0"/>
    </row>
    <row r="62" customFormat="false" ht="15" hidden="false" customHeight="true" outlineLevel="0" collapsed="false">
      <c r="A62" s="10"/>
      <c r="B62" s="10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0"/>
    </row>
    <row r="63" customFormat="false" ht="15" hidden="false" customHeight="true" outlineLevel="0" collapsed="false">
      <c r="A63" s="10"/>
      <c r="B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0"/>
    </row>
    <row r="64" customFormat="false" ht="15" hidden="false" customHeight="true" outlineLevel="0" collapsed="false">
      <c r="A64" s="10"/>
      <c r="B64" s="10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0"/>
    </row>
    <row r="65" customFormat="false" ht="15" hidden="false" customHeight="true" outlineLevel="0" collapsed="false">
      <c r="A65" s="10"/>
      <c r="B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0"/>
    </row>
    <row r="66" customFormat="false" ht="15" hidden="false" customHeight="true" outlineLevel="0" collapsed="false">
      <c r="A66" s="10"/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0"/>
    </row>
    <row r="67" customFormat="false" ht="15" hidden="false" customHeight="true" outlineLevel="0" collapsed="false">
      <c r="A67" s="10"/>
      <c r="B67" s="1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0"/>
    </row>
    <row r="68" customFormat="false" ht="15" hidden="false" customHeight="true" outlineLevel="0" collapsed="false">
      <c r="A68" s="10"/>
      <c r="B68" s="1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0"/>
    </row>
    <row r="69" customFormat="false" ht="15" hidden="false" customHeight="true" outlineLevel="0" collapsed="false">
      <c r="A69" s="10"/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0"/>
    </row>
    <row r="70" customFormat="false" ht="15" hidden="false" customHeight="true" outlineLevel="0" collapsed="false">
      <c r="A70" s="10"/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0"/>
    </row>
    <row r="71" customFormat="false" ht="15" hidden="false" customHeight="true" outlineLevel="0" collapsed="false">
      <c r="A71" s="10"/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0"/>
    </row>
    <row r="72" customFormat="false" ht="15" hidden="false" customHeight="true" outlineLevel="0" collapsed="false">
      <c r="A72" s="10"/>
      <c r="B72" s="1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0"/>
    </row>
    <row r="73" customFormat="false" ht="15" hidden="false" customHeight="true" outlineLevel="0" collapsed="false">
      <c r="A73" s="10"/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0"/>
    </row>
    <row r="74" customFormat="false" ht="15" hidden="false" customHeight="true" outlineLevel="0" collapsed="false">
      <c r="A74" s="10"/>
      <c r="B74" s="10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0"/>
    </row>
    <row r="75" customFormat="false" ht="15" hidden="false" customHeight="true" outlineLevel="0" collapsed="false">
      <c r="A75" s="10"/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0"/>
    </row>
    <row r="76" customFormat="false" ht="15" hidden="false" customHeight="true" outlineLevel="0" collapsed="false">
      <c r="A76" s="10"/>
      <c r="B76" s="10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0"/>
    </row>
    <row r="77" customFormat="false" ht="15" hidden="false" customHeight="true" outlineLevel="0" collapsed="false">
      <c r="A77" s="10"/>
      <c r="B77" s="1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0"/>
    </row>
    <row r="78" customFormat="false" ht="15" hidden="false" customHeight="true" outlineLevel="0" collapsed="false">
      <c r="A78" s="10"/>
      <c r="B78" s="1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0"/>
    </row>
    <row r="79" customFormat="false" ht="15" hidden="false" customHeight="true" outlineLevel="0" collapsed="false">
      <c r="A79" s="10"/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0"/>
    </row>
    <row r="80" customFormat="false" ht="15" hidden="false" customHeight="true" outlineLevel="0" collapsed="false">
      <c r="A80" s="10"/>
      <c r="B80" s="10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0"/>
    </row>
    <row r="81" customFormat="false" ht="15" hidden="false" customHeight="true" outlineLevel="0" collapsed="false">
      <c r="A81" s="10"/>
      <c r="B81" s="10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0"/>
    </row>
    <row r="82" customFormat="false" ht="15" hidden="false" customHeight="true" outlineLevel="0" collapsed="false">
      <c r="A82" s="10"/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0"/>
    </row>
    <row r="83" customFormat="false" ht="15" hidden="false" customHeight="true" outlineLevel="0" collapsed="false">
      <c r="A83" s="10"/>
      <c r="B83" s="1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0"/>
    </row>
    <row r="84" customFormat="false" ht="15" hidden="false" customHeight="true" outlineLevel="0" collapsed="false">
      <c r="A84" s="10"/>
      <c r="B84" s="10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0"/>
    </row>
    <row r="85" customFormat="false" ht="15" hidden="false" customHeight="true" outlineLevel="0" collapsed="false">
      <c r="A85" s="10"/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0"/>
    </row>
    <row r="86" customFormat="false" ht="15" hidden="false" customHeight="true" outlineLevel="0" collapsed="false">
      <c r="A86" s="10"/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0"/>
    </row>
    <row r="87" customFormat="false" ht="15" hidden="false" customHeight="true" outlineLevel="0" collapsed="false">
      <c r="A87" s="10"/>
      <c r="B87" s="10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0"/>
    </row>
    <row r="88" customFormat="false" ht="15" hidden="false" customHeight="true" outlineLevel="0" collapsed="false">
      <c r="A88" s="10"/>
      <c r="B88" s="10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0"/>
    </row>
    <row r="89" customFormat="false" ht="15" hidden="false" customHeight="true" outlineLevel="0" collapsed="false">
      <c r="A89" s="10"/>
      <c r="B89" s="1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0"/>
    </row>
    <row r="90" customFormat="false" ht="15" hidden="false" customHeight="true" outlineLevel="0" collapsed="false">
      <c r="A90" s="10"/>
      <c r="B90" s="10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0"/>
    </row>
    <row r="91" customFormat="false" ht="15" hidden="false" customHeight="true" outlineLevel="0" collapsed="false">
      <c r="A91" s="10"/>
      <c r="B91" s="10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0"/>
    </row>
    <row r="92" customFormat="false" ht="15" hidden="false" customHeight="true" outlineLevel="0" collapsed="false">
      <c r="A92" s="10"/>
      <c r="B92" s="10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0"/>
    </row>
    <row r="93" customFormat="false" ht="15" hidden="false" customHeight="true" outlineLevel="0" collapsed="false">
      <c r="A93" s="10"/>
      <c r="B93" s="1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0"/>
    </row>
    <row r="94" customFormat="false" ht="15" hidden="false" customHeight="true" outlineLevel="0" collapsed="false">
      <c r="A94" s="10"/>
      <c r="B94" s="10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0"/>
    </row>
    <row r="95" customFormat="false" ht="15" hidden="false" customHeight="true" outlineLevel="0" collapsed="false">
      <c r="A95" s="10"/>
      <c r="B95" s="10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0"/>
    </row>
    <row r="96" customFormat="false" ht="15" hidden="false" customHeight="true" outlineLevel="0" collapsed="false">
      <c r="A96" s="10"/>
      <c r="B96" s="10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0"/>
    </row>
    <row r="97" customFormat="false" ht="15" hidden="false" customHeight="true" outlineLevel="0" collapsed="false">
      <c r="A97" s="10"/>
      <c r="B97" s="10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/>
    </row>
    <row r="98" customFormat="false" ht="15" hidden="false" customHeight="true" outlineLevel="0" collapsed="false">
      <c r="A98" s="10"/>
      <c r="B98" s="1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0"/>
    </row>
    <row r="99" customFormat="false" ht="15" hidden="false" customHeight="true" outlineLevel="0" collapsed="false">
      <c r="A99" s="10"/>
      <c r="B99" s="10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0"/>
    </row>
    <row r="100" customFormat="false" ht="15" hidden="false" customHeight="true" outlineLevel="0" collapsed="false">
      <c r="A100" s="10"/>
      <c r="B100" s="10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0"/>
    </row>
    <row r="101" customFormat="false" ht="15" hidden="false" customHeight="true" outlineLevel="0" collapsed="false">
      <c r="A101" s="10"/>
      <c r="B101" s="1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0"/>
    </row>
    <row r="102" customFormat="false" ht="15" hidden="false" customHeight="true" outlineLevel="0" collapsed="false">
      <c r="A102" s="10"/>
      <c r="B102" s="10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0"/>
    </row>
    <row r="103" customFormat="false" ht="15" hidden="false" customHeight="true" outlineLevel="0" collapsed="false">
      <c r="A103" s="10"/>
      <c r="B103" s="1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0"/>
    </row>
    <row r="104" customFormat="false" ht="15" hidden="false" customHeight="true" outlineLevel="0" collapsed="false">
      <c r="A104" s="10"/>
      <c r="B104" s="10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0"/>
    </row>
    <row r="105" customFormat="false" ht="15" hidden="false" customHeight="true" outlineLevel="0" collapsed="false">
      <c r="A105" s="10"/>
      <c r="B105" s="10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0"/>
    </row>
    <row r="106" customFormat="false" ht="15" hidden="false" customHeight="true" outlineLevel="0" collapsed="false">
      <c r="A106" s="10"/>
      <c r="B106" s="10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/>
    </row>
    <row r="107" customFormat="false" ht="15" hidden="false" customHeight="true" outlineLevel="0" collapsed="false">
      <c r="A107" s="10"/>
      <c r="B107" s="10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0"/>
    </row>
    <row r="108" customFormat="false" ht="15" hidden="false" customHeight="true" outlineLevel="0" collapsed="false">
      <c r="A108" s="10"/>
      <c r="B108" s="10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0"/>
    </row>
    <row r="109" customFormat="false" ht="15" hidden="false" customHeight="true" outlineLevel="0" collapsed="false">
      <c r="A109" s="10"/>
      <c r="B109" s="10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0"/>
    </row>
    <row r="110" customFormat="false" ht="15" hidden="false" customHeight="true" outlineLevel="0" collapsed="false">
      <c r="A110" s="10"/>
      <c r="B110" s="10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0"/>
    </row>
    <row r="111" customFormat="false" ht="15" hidden="false" customHeight="true" outlineLevel="0" collapsed="false">
      <c r="A111" s="10"/>
      <c r="B111" s="10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0"/>
    </row>
    <row r="112" customFormat="false" ht="15" hidden="false" customHeight="true" outlineLevel="0" collapsed="false">
      <c r="A112" s="10"/>
      <c r="B112" s="10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0"/>
    </row>
    <row r="113" customFormat="false" ht="15" hidden="false" customHeight="true" outlineLevel="0" collapsed="false">
      <c r="A113" s="10"/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0"/>
    </row>
    <row r="114" customFormat="false" ht="15" hidden="false" customHeight="true" outlineLevel="0" collapsed="false">
      <c r="A114" s="10"/>
      <c r="B114" s="10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0"/>
    </row>
    <row r="115" customFormat="false" ht="15" hidden="false" customHeight="true" outlineLevel="0" collapsed="false">
      <c r="A115" s="10"/>
      <c r="B115" s="10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0"/>
    </row>
    <row r="116" customFormat="false" ht="15" hidden="false" customHeight="true" outlineLevel="0" collapsed="false">
      <c r="A116" s="10"/>
      <c r="B116" s="10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0"/>
    </row>
    <row r="117" customFormat="false" ht="15" hidden="false" customHeight="true" outlineLevel="0" collapsed="false">
      <c r="A117" s="10"/>
      <c r="B117" s="10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0"/>
    </row>
    <row r="118" customFormat="false" ht="15" hidden="false" customHeight="true" outlineLevel="0" collapsed="false">
      <c r="A118" s="10"/>
      <c r="B118" s="10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0"/>
    </row>
    <row r="119" customFormat="false" ht="15" hidden="false" customHeight="true" outlineLevel="0" collapsed="false">
      <c r="A119" s="10"/>
      <c r="B119" s="10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0"/>
    </row>
    <row r="120" customFormat="false" ht="15" hidden="false" customHeight="true" outlineLevel="0" collapsed="false">
      <c r="A120" s="10"/>
      <c r="B120" s="10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0"/>
    </row>
    <row r="121" customFormat="false" ht="15" hidden="false" customHeight="true" outlineLevel="0" collapsed="false">
      <c r="A121" s="10"/>
      <c r="B121" s="10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0"/>
    </row>
    <row r="122" customFormat="false" ht="15" hidden="false" customHeight="true" outlineLevel="0" collapsed="false">
      <c r="A122" s="10"/>
      <c r="B122" s="10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0"/>
    </row>
    <row r="123" customFormat="false" ht="15" hidden="false" customHeight="true" outlineLevel="0" collapsed="false">
      <c r="A123" s="10"/>
      <c r="B123" s="10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0"/>
    </row>
    <row r="124" customFormat="false" ht="15" hidden="false" customHeight="true" outlineLevel="0" collapsed="false">
      <c r="A124" s="10"/>
      <c r="B124" s="10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0"/>
    </row>
    <row r="125" customFormat="false" ht="15" hidden="false" customHeight="true" outlineLevel="0" collapsed="false">
      <c r="A125" s="10"/>
      <c r="B125" s="10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0"/>
    </row>
    <row r="126" customFormat="false" ht="15" hidden="false" customHeight="true" outlineLevel="0" collapsed="false">
      <c r="A126" s="10"/>
      <c r="B126" s="10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0"/>
    </row>
    <row r="127" customFormat="false" ht="15" hidden="false" customHeight="true" outlineLevel="0" collapsed="false">
      <c r="A127" s="10"/>
      <c r="B127" s="10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0"/>
    </row>
    <row r="128" customFormat="false" ht="15" hidden="false" customHeight="true" outlineLevel="0" collapsed="false">
      <c r="A128" s="10"/>
      <c r="B128" s="10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0"/>
    </row>
    <row r="129" customFormat="false" ht="15" hidden="false" customHeight="true" outlineLevel="0" collapsed="false">
      <c r="A129" s="10"/>
      <c r="B129" s="10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0"/>
    </row>
    <row r="130" customFormat="false" ht="15" hidden="false" customHeight="true" outlineLevel="0" collapsed="false">
      <c r="A130" s="10"/>
      <c r="B130" s="10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0"/>
    </row>
    <row r="131" customFormat="false" ht="15" hidden="false" customHeight="true" outlineLevel="0" collapsed="false">
      <c r="A131" s="10"/>
      <c r="B131" s="10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0"/>
    </row>
    <row r="132" customFormat="false" ht="15" hidden="false" customHeight="true" outlineLevel="0" collapsed="false">
      <c r="A132" s="10"/>
      <c r="B132" s="10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0"/>
    </row>
    <row r="133" customFormat="false" ht="15" hidden="false" customHeight="true" outlineLevel="0" collapsed="false">
      <c r="A133" s="10"/>
      <c r="B133" s="10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0"/>
    </row>
    <row r="134" customFormat="false" ht="15" hidden="false" customHeight="true" outlineLevel="0" collapsed="false">
      <c r="A134" s="10"/>
      <c r="B134" s="10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0"/>
    </row>
    <row r="135" customFormat="false" ht="15" hidden="false" customHeight="true" outlineLevel="0" collapsed="false">
      <c r="A135" s="10"/>
      <c r="B135" s="10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0"/>
    </row>
    <row r="136" customFormat="false" ht="15" hidden="false" customHeight="true" outlineLevel="0" collapsed="false">
      <c r="A136" s="10"/>
      <c r="B136" s="10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0"/>
    </row>
    <row r="137" customFormat="false" ht="15" hidden="false" customHeight="true" outlineLevel="0" collapsed="false">
      <c r="A137" s="10"/>
      <c r="B137" s="10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0"/>
    </row>
    <row r="138" customFormat="false" ht="15" hidden="false" customHeight="true" outlineLevel="0" collapsed="false">
      <c r="A138" s="10"/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0"/>
    </row>
    <row r="139" customFormat="false" ht="15" hidden="false" customHeight="true" outlineLevel="0" collapsed="false">
      <c r="A139" s="10"/>
      <c r="B139" s="10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0"/>
    </row>
    <row r="140" customFormat="false" ht="15" hidden="false" customHeight="true" outlineLevel="0" collapsed="false">
      <c r="A140" s="10"/>
      <c r="B140" s="10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0"/>
    </row>
    <row r="141" customFormat="false" ht="15" hidden="false" customHeight="true" outlineLevel="0" collapsed="false">
      <c r="A141" s="10"/>
      <c r="B141" s="1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0"/>
    </row>
    <row r="142" customFormat="false" ht="15" hidden="false" customHeight="true" outlineLevel="0" collapsed="false">
      <c r="A142" s="10"/>
      <c r="B142" s="10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0"/>
    </row>
    <row r="143" customFormat="false" ht="15" hidden="false" customHeight="true" outlineLevel="0" collapsed="false">
      <c r="A143" s="10"/>
      <c r="B143" s="10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0"/>
    </row>
    <row r="144" customFormat="false" ht="15" hidden="false" customHeight="true" outlineLevel="0" collapsed="false">
      <c r="A144" s="10"/>
      <c r="B144" s="1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0"/>
    </row>
    <row r="145" customFormat="false" ht="15" hidden="false" customHeight="true" outlineLevel="0" collapsed="false">
      <c r="A145" s="10"/>
      <c r="B145" s="10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0"/>
    </row>
    <row r="146" customFormat="false" ht="15" hidden="false" customHeight="true" outlineLevel="0" collapsed="false">
      <c r="A146" s="10"/>
      <c r="B146" s="10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0"/>
    </row>
    <row r="147" customFormat="false" ht="15" hidden="false" customHeight="true" outlineLevel="0" collapsed="false">
      <c r="A147" s="10"/>
      <c r="B147" s="10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0"/>
    </row>
    <row r="148" customFormat="false" ht="15" hidden="false" customHeight="true" outlineLevel="0" collapsed="false">
      <c r="A148" s="10"/>
      <c r="B148" s="10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0"/>
    </row>
    <row r="149" customFormat="false" ht="15" hidden="false" customHeight="true" outlineLevel="0" collapsed="false">
      <c r="A149" s="10"/>
      <c r="B149" s="10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0"/>
    </row>
    <row r="150" customFormat="false" ht="15" hidden="false" customHeight="true" outlineLevel="0" collapsed="false">
      <c r="A150" s="10"/>
      <c r="B150" s="1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0"/>
    </row>
    <row r="151" customFormat="false" ht="15" hidden="false" customHeight="true" outlineLevel="0" collapsed="false">
      <c r="A151" s="10"/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0"/>
    </row>
    <row r="152" customFormat="false" ht="15" hidden="false" customHeight="true" outlineLevel="0" collapsed="false">
      <c r="A152" s="10"/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0"/>
    </row>
    <row r="153" customFormat="false" ht="15" hidden="false" customHeight="true" outlineLevel="0" collapsed="false">
      <c r="A153" s="10"/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0"/>
    </row>
    <row r="154" customFormat="false" ht="15" hidden="false" customHeight="true" outlineLevel="0" collapsed="false">
      <c r="A154" s="10"/>
      <c r="B154" s="10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0"/>
    </row>
    <row r="155" customFormat="false" ht="15" hidden="false" customHeight="true" outlineLevel="0" collapsed="false">
      <c r="A155" s="10"/>
      <c r="B155" s="10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0"/>
    </row>
    <row r="156" customFormat="false" ht="15" hidden="false" customHeight="true" outlineLevel="0" collapsed="false">
      <c r="A156" s="10"/>
      <c r="B156" s="10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0"/>
    </row>
    <row r="157" customFormat="false" ht="15" hidden="false" customHeight="true" outlineLevel="0" collapsed="false">
      <c r="A157" s="10"/>
      <c r="B157" s="10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0"/>
    </row>
    <row r="158" customFormat="false" ht="15" hidden="false" customHeight="true" outlineLevel="0" collapsed="false">
      <c r="A158" s="10"/>
      <c r="B158" s="10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0"/>
    </row>
    <row r="159" customFormat="false" ht="15" hidden="false" customHeight="true" outlineLevel="0" collapsed="false">
      <c r="A159" s="10"/>
      <c r="B159" s="10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0"/>
    </row>
    <row r="160" customFormat="false" ht="15" hidden="false" customHeight="true" outlineLevel="0" collapsed="false">
      <c r="A160" s="10"/>
      <c r="B160" s="10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0"/>
    </row>
    <row r="161" customFormat="false" ht="15" hidden="false" customHeight="true" outlineLevel="0" collapsed="false">
      <c r="A161" s="10"/>
      <c r="B161" s="10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0"/>
    </row>
    <row r="162" customFormat="false" ht="15" hidden="false" customHeight="true" outlineLevel="0" collapsed="false">
      <c r="A162" s="10"/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0"/>
    </row>
    <row r="163" customFormat="false" ht="15" hidden="false" customHeight="true" outlineLevel="0" collapsed="false">
      <c r="A163" s="10"/>
      <c r="B163" s="10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0"/>
    </row>
    <row r="164" customFormat="false" ht="15" hidden="false" customHeight="true" outlineLevel="0" collapsed="false">
      <c r="A164" s="10"/>
      <c r="B164" s="10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0"/>
    </row>
    <row r="165" customFormat="false" ht="15" hidden="false" customHeight="true" outlineLevel="0" collapsed="false">
      <c r="A165" s="10"/>
      <c r="B165" s="1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0"/>
    </row>
    <row r="166" customFormat="false" ht="15" hidden="false" customHeight="true" outlineLevel="0" collapsed="false">
      <c r="A166" s="10"/>
      <c r="B166" s="10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0"/>
    </row>
    <row r="167" customFormat="false" ht="15" hidden="false" customHeight="true" outlineLevel="0" collapsed="false">
      <c r="A167" s="10"/>
      <c r="B167" s="10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0"/>
    </row>
    <row r="168" customFormat="false" ht="15" hidden="false" customHeight="true" outlineLevel="0" collapsed="false">
      <c r="A168" s="10"/>
      <c r="B168" s="10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0"/>
    </row>
    <row r="169" customFormat="false" ht="15" hidden="false" customHeight="true" outlineLevel="0" collapsed="false">
      <c r="A169" s="10"/>
      <c r="B169" s="10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0"/>
    </row>
    <row r="170" customFormat="false" ht="15" hidden="false" customHeight="true" outlineLevel="0" collapsed="false">
      <c r="A170" s="10"/>
      <c r="B170" s="10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0"/>
    </row>
    <row r="171" customFormat="false" ht="15" hidden="false" customHeight="true" outlineLevel="0" collapsed="false">
      <c r="A171" s="10"/>
      <c r="B171" s="10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0"/>
    </row>
    <row r="172" customFormat="false" ht="15" hidden="false" customHeight="true" outlineLevel="0" collapsed="false">
      <c r="A172" s="10"/>
      <c r="B172" s="10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0"/>
    </row>
    <row r="173" customFormat="false" ht="15" hidden="false" customHeight="true" outlineLevel="0" collapsed="false">
      <c r="A173" s="10"/>
      <c r="B173" s="10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0"/>
    </row>
    <row r="174" customFormat="false" ht="15" hidden="false" customHeight="true" outlineLevel="0" collapsed="false">
      <c r="A174" s="10"/>
      <c r="B174" s="10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0"/>
    </row>
    <row r="175" customFormat="false" ht="15" hidden="false" customHeight="true" outlineLevel="0" collapsed="false">
      <c r="A175" s="10"/>
      <c r="B175" s="10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0"/>
    </row>
    <row r="176" customFormat="false" ht="15" hidden="false" customHeight="true" outlineLevel="0" collapsed="false">
      <c r="A176" s="10"/>
      <c r="B176" s="10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0"/>
    </row>
    <row r="177" customFormat="false" ht="15" hidden="false" customHeight="true" outlineLevel="0" collapsed="false">
      <c r="A177" s="10"/>
      <c r="B177" s="10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0"/>
    </row>
    <row r="178" customFormat="false" ht="15" hidden="false" customHeight="true" outlineLevel="0" collapsed="false">
      <c r="A178" s="10"/>
      <c r="B178" s="10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0"/>
    </row>
    <row r="179" customFormat="false" ht="15" hidden="false" customHeight="true" outlineLevel="0" collapsed="false">
      <c r="A179" s="10"/>
      <c r="B179" s="10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0"/>
    </row>
    <row r="180" customFormat="false" ht="15" hidden="false" customHeight="true" outlineLevel="0" collapsed="false">
      <c r="A180" s="10"/>
      <c r="B180" s="10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0"/>
    </row>
    <row r="181" customFormat="false" ht="15" hidden="false" customHeight="true" outlineLevel="0" collapsed="false">
      <c r="A181" s="10"/>
      <c r="B181" s="10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0"/>
    </row>
    <row r="182" customFormat="false" ht="15" hidden="false" customHeight="true" outlineLevel="0" collapsed="false">
      <c r="A182" s="10"/>
      <c r="B182" s="10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0"/>
    </row>
    <row r="183" customFormat="false" ht="15" hidden="false" customHeight="true" outlineLevel="0" collapsed="false">
      <c r="A183" s="10"/>
      <c r="B183" s="10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0"/>
    </row>
    <row r="184" customFormat="false" ht="15" hidden="false" customHeight="true" outlineLevel="0" collapsed="false">
      <c r="A184" s="10"/>
      <c r="B184" s="10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0"/>
    </row>
    <row r="185" customFormat="false" ht="15" hidden="false" customHeight="true" outlineLevel="0" collapsed="false">
      <c r="A185" s="10"/>
      <c r="B185" s="10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0"/>
    </row>
    <row r="186" customFormat="false" ht="15" hidden="false" customHeight="true" outlineLevel="0" collapsed="false">
      <c r="A186" s="10"/>
      <c r="B186" s="10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0"/>
    </row>
    <row r="187" customFormat="false" ht="15" hidden="false" customHeight="true" outlineLevel="0" collapsed="false">
      <c r="A187" s="10"/>
      <c r="B187" s="10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0"/>
    </row>
    <row r="188" customFormat="false" ht="15" hidden="false" customHeight="true" outlineLevel="0" collapsed="false">
      <c r="A188" s="10"/>
      <c r="B188" s="10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0"/>
    </row>
    <row r="189" customFormat="false" ht="15" hidden="false" customHeight="true" outlineLevel="0" collapsed="false">
      <c r="A189" s="10"/>
      <c r="B189" s="10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0"/>
    </row>
    <row r="190" customFormat="false" ht="15" hidden="false" customHeight="true" outlineLevel="0" collapsed="false">
      <c r="A190" s="10"/>
      <c r="B190" s="10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0"/>
    </row>
    <row r="191" customFormat="false" ht="15" hidden="false" customHeight="true" outlineLevel="0" collapsed="false">
      <c r="A191" s="10"/>
      <c r="B191" s="10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0"/>
    </row>
    <row r="192" customFormat="false" ht="15" hidden="false" customHeight="true" outlineLevel="0" collapsed="false">
      <c r="A192" s="10"/>
      <c r="B192" s="10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0"/>
    </row>
    <row r="193" customFormat="false" ht="15" hidden="false" customHeight="true" outlineLevel="0" collapsed="false">
      <c r="A193" s="10"/>
      <c r="B193" s="10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0"/>
    </row>
    <row r="194" customFormat="false" ht="15" hidden="false" customHeight="true" outlineLevel="0" collapsed="false">
      <c r="A194" s="10"/>
      <c r="B194" s="10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0"/>
    </row>
    <row r="195" customFormat="false" ht="15" hidden="false" customHeight="true" outlineLevel="0" collapsed="false">
      <c r="A195" s="10"/>
      <c r="B195" s="10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0"/>
    </row>
    <row r="196" customFormat="false" ht="15" hidden="false" customHeight="true" outlineLevel="0" collapsed="false">
      <c r="A196" s="10"/>
      <c r="B196" s="10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0"/>
    </row>
    <row r="197" customFormat="false" ht="15" hidden="false" customHeight="true" outlineLevel="0" collapsed="false">
      <c r="A197" s="10"/>
      <c r="B197" s="10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0"/>
    </row>
    <row r="198" customFormat="false" ht="15" hidden="false" customHeight="true" outlineLevel="0" collapsed="false">
      <c r="A198" s="10"/>
      <c r="B198" s="10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0"/>
    </row>
    <row r="199" customFormat="false" ht="15" hidden="false" customHeight="true" outlineLevel="0" collapsed="false">
      <c r="A199" s="10"/>
      <c r="B199" s="10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0"/>
    </row>
    <row r="200" customFormat="false" ht="15" hidden="false" customHeight="true" outlineLevel="0" collapsed="false">
      <c r="A200" s="10"/>
      <c r="B200" s="10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0"/>
    </row>
    <row r="201" customFormat="false" ht="15" hidden="false" customHeight="true" outlineLevel="0" collapsed="false">
      <c r="A201" s="10"/>
      <c r="B201" s="10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0"/>
    </row>
    <row r="202" customFormat="false" ht="15" hidden="false" customHeight="true" outlineLevel="0" collapsed="false">
      <c r="A202" s="10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0"/>
    </row>
    <row r="203" customFormat="false" ht="15" hidden="false" customHeight="true" outlineLevel="0" collapsed="false">
      <c r="A203" s="10"/>
      <c r="B203" s="10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0"/>
    </row>
    <row r="204" customFormat="false" ht="15" hidden="false" customHeight="true" outlineLevel="0" collapsed="false">
      <c r="A204" s="10"/>
      <c r="B204" s="10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0"/>
    </row>
    <row r="205" customFormat="false" ht="15" hidden="false" customHeight="true" outlineLevel="0" collapsed="false">
      <c r="A205" s="10"/>
      <c r="B205" s="10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0"/>
    </row>
    <row r="206" customFormat="false" ht="15" hidden="false" customHeight="true" outlineLevel="0" collapsed="false">
      <c r="A206" s="10"/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0"/>
    </row>
    <row r="207" customFormat="false" ht="15" hidden="false" customHeight="true" outlineLevel="0" collapsed="false">
      <c r="A207" s="10"/>
      <c r="B207" s="10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0"/>
    </row>
    <row r="208" customFormat="false" ht="15" hidden="false" customHeight="true" outlineLevel="0" collapsed="false">
      <c r="A208" s="10"/>
      <c r="B208" s="10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0"/>
    </row>
    <row r="209" customFormat="false" ht="15" hidden="false" customHeight="true" outlineLevel="0" collapsed="false">
      <c r="A209" s="10"/>
      <c r="B209" s="10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0"/>
    </row>
    <row r="210" customFormat="false" ht="15" hidden="false" customHeight="true" outlineLevel="0" collapsed="false">
      <c r="A210" s="10"/>
      <c r="B210" s="10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0"/>
    </row>
    <row r="211" customFormat="false" ht="15" hidden="false" customHeight="true" outlineLevel="0" collapsed="false">
      <c r="A211" s="10"/>
      <c r="B211" s="10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0"/>
    </row>
    <row r="212" customFormat="false" ht="15" hidden="false" customHeight="true" outlineLevel="0" collapsed="false">
      <c r="A212" s="10"/>
      <c r="B212" s="10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0"/>
    </row>
    <row r="213" customFormat="false" ht="15" hidden="false" customHeight="true" outlineLevel="0" collapsed="false">
      <c r="A213" s="10"/>
      <c r="B213" s="10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0"/>
    </row>
    <row r="214" customFormat="false" ht="15" hidden="false" customHeight="true" outlineLevel="0" collapsed="false">
      <c r="A214" s="10"/>
      <c r="B214" s="10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0"/>
    </row>
    <row r="215" customFormat="false" ht="15" hidden="false" customHeight="true" outlineLevel="0" collapsed="false">
      <c r="A215" s="10"/>
      <c r="B215" s="10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0"/>
    </row>
    <row r="216" customFormat="false" ht="15" hidden="false" customHeight="true" outlineLevel="0" collapsed="false">
      <c r="A216" s="10"/>
      <c r="B216" s="10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0"/>
    </row>
    <row r="217" customFormat="false" ht="15" hidden="false" customHeight="true" outlineLevel="0" collapsed="false">
      <c r="A217" s="10"/>
      <c r="B217" s="10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0"/>
    </row>
    <row r="218" customFormat="false" ht="15" hidden="false" customHeight="true" outlineLevel="0" collapsed="false">
      <c r="A218" s="10"/>
      <c r="B218" s="10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0"/>
    </row>
    <row r="219" customFormat="false" ht="15" hidden="false" customHeight="true" outlineLevel="0" collapsed="false">
      <c r="A219" s="10"/>
      <c r="B219" s="10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0"/>
    </row>
    <row r="220" customFormat="false" ht="15" hidden="false" customHeight="true" outlineLevel="0" collapsed="false">
      <c r="A220" s="10"/>
      <c r="B220" s="10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0"/>
    </row>
    <row r="221" customFormat="false" ht="15" hidden="false" customHeight="true" outlineLevel="0" collapsed="false">
      <c r="A221" s="10"/>
      <c r="B221" s="10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0"/>
    </row>
    <row r="222" customFormat="false" ht="15" hidden="false" customHeight="true" outlineLevel="0" collapsed="false">
      <c r="A222" s="10"/>
      <c r="B222" s="10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0"/>
    </row>
    <row r="223" customFormat="false" ht="15" hidden="false" customHeight="true" outlineLevel="0" collapsed="false">
      <c r="A223" s="10"/>
      <c r="B223" s="10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0"/>
    </row>
    <row r="224" customFormat="false" ht="15" hidden="false" customHeight="true" outlineLevel="0" collapsed="false">
      <c r="A224" s="10"/>
      <c r="B224" s="10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0"/>
    </row>
    <row r="225" customFormat="false" ht="15" hidden="false" customHeight="true" outlineLevel="0" collapsed="false">
      <c r="A225" s="10"/>
      <c r="B225" s="10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0"/>
    </row>
    <row r="226" customFormat="false" ht="15" hidden="false" customHeight="true" outlineLevel="0" collapsed="false">
      <c r="A226" s="10"/>
      <c r="B226" s="10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0"/>
    </row>
    <row r="227" customFormat="false" ht="15" hidden="false" customHeight="true" outlineLevel="0" collapsed="false">
      <c r="A227" s="10"/>
      <c r="B227" s="10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0"/>
    </row>
    <row r="228" customFormat="false" ht="15" hidden="false" customHeight="true" outlineLevel="0" collapsed="false">
      <c r="A228" s="10"/>
      <c r="B228" s="10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0"/>
    </row>
    <row r="229" customFormat="false" ht="15" hidden="false" customHeight="true" outlineLevel="0" collapsed="false">
      <c r="A229" s="10"/>
      <c r="B229" s="10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0"/>
    </row>
    <row r="230" customFormat="false" ht="15" hidden="false" customHeight="true" outlineLevel="0" collapsed="false">
      <c r="A230" s="10"/>
      <c r="B230" s="10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0"/>
    </row>
    <row r="231" customFormat="false" ht="15" hidden="false" customHeight="true" outlineLevel="0" collapsed="false">
      <c r="A231" s="10"/>
      <c r="B231" s="10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0"/>
    </row>
    <row r="232" customFormat="false" ht="15" hidden="false" customHeight="true" outlineLevel="0" collapsed="false">
      <c r="A232" s="10"/>
      <c r="B232" s="10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0"/>
    </row>
    <row r="233" customFormat="false" ht="15" hidden="false" customHeight="true" outlineLevel="0" collapsed="false">
      <c r="A233" s="10"/>
      <c r="B233" s="10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0"/>
    </row>
    <row r="234" customFormat="false" ht="15" hidden="false" customHeight="true" outlineLevel="0" collapsed="false">
      <c r="A234" s="10"/>
      <c r="B234" s="10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0"/>
    </row>
    <row r="235" customFormat="false" ht="15" hidden="false" customHeight="true" outlineLevel="0" collapsed="false">
      <c r="A235" s="10"/>
      <c r="B235" s="10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0"/>
    </row>
    <row r="236" customFormat="false" ht="15" hidden="false" customHeight="true" outlineLevel="0" collapsed="false">
      <c r="A236" s="10"/>
      <c r="B236" s="10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0"/>
    </row>
    <row r="237" customFormat="false" ht="15" hidden="false" customHeight="true" outlineLevel="0" collapsed="false">
      <c r="A237" s="10"/>
      <c r="B237" s="10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0"/>
    </row>
    <row r="238" customFormat="false" ht="15" hidden="false" customHeight="true" outlineLevel="0" collapsed="false">
      <c r="A238" s="10"/>
      <c r="B238" s="10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0"/>
    </row>
    <row r="239" customFormat="false" ht="15" hidden="false" customHeight="true" outlineLevel="0" collapsed="false">
      <c r="A239" s="10"/>
      <c r="B239" s="10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0"/>
    </row>
    <row r="240" customFormat="false" ht="15" hidden="false" customHeight="true" outlineLevel="0" collapsed="false">
      <c r="A240" s="10"/>
      <c r="B240" s="10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0"/>
    </row>
    <row r="241" customFormat="false" ht="15" hidden="false" customHeight="true" outlineLevel="0" collapsed="false">
      <c r="A241" s="10"/>
      <c r="B241" s="10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0"/>
    </row>
    <row r="242" customFormat="false" ht="15" hidden="false" customHeight="true" outlineLevel="0" collapsed="false">
      <c r="A242" s="10"/>
      <c r="B242" s="10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0"/>
    </row>
    <row r="243" customFormat="false" ht="15" hidden="false" customHeight="true" outlineLevel="0" collapsed="false">
      <c r="A243" s="10"/>
      <c r="B243" s="10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0"/>
    </row>
    <row r="244" customFormat="false" ht="15" hidden="false" customHeight="true" outlineLevel="0" collapsed="false">
      <c r="A244" s="10"/>
      <c r="B244" s="10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0"/>
    </row>
    <row r="245" customFormat="false" ht="15" hidden="false" customHeight="true" outlineLevel="0" collapsed="false">
      <c r="A245" s="10"/>
      <c r="B245" s="10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0"/>
    </row>
    <row r="246" customFormat="false" ht="15" hidden="false" customHeight="true" outlineLevel="0" collapsed="false">
      <c r="A246" s="10"/>
      <c r="B246" s="10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0"/>
    </row>
    <row r="247" customFormat="false" ht="15" hidden="false" customHeight="true" outlineLevel="0" collapsed="false">
      <c r="A247" s="10"/>
      <c r="B247" s="10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0"/>
    </row>
    <row r="248" customFormat="false" ht="15" hidden="false" customHeight="true" outlineLevel="0" collapsed="false">
      <c r="A248" s="10"/>
      <c r="B248" s="10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0"/>
    </row>
    <row r="249" customFormat="false" ht="15" hidden="false" customHeight="true" outlineLevel="0" collapsed="false">
      <c r="A249" s="10"/>
      <c r="B249" s="10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0"/>
    </row>
    <row r="250" customFormat="false" ht="15" hidden="false" customHeight="true" outlineLevel="0" collapsed="false">
      <c r="A250" s="10"/>
      <c r="B250" s="10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0"/>
    </row>
    <row r="251" customFormat="false" ht="15" hidden="false" customHeight="true" outlineLevel="0" collapsed="false">
      <c r="A251" s="10"/>
      <c r="B251" s="10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0"/>
    </row>
    <row r="252" customFormat="false" ht="15" hidden="false" customHeight="true" outlineLevel="0" collapsed="false">
      <c r="A252" s="10"/>
      <c r="B252" s="10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0"/>
    </row>
    <row r="253" customFormat="false" ht="15" hidden="false" customHeight="true" outlineLevel="0" collapsed="false">
      <c r="A253" s="10"/>
      <c r="B253" s="10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0"/>
    </row>
    <row r="254" customFormat="false" ht="15" hidden="false" customHeight="true" outlineLevel="0" collapsed="false">
      <c r="A254" s="10"/>
      <c r="B254" s="10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0"/>
    </row>
    <row r="255" customFormat="false" ht="15" hidden="false" customHeight="true" outlineLevel="0" collapsed="false">
      <c r="A255" s="10"/>
      <c r="B255" s="10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0"/>
    </row>
    <row r="256" customFormat="false" ht="15" hidden="false" customHeight="true" outlineLevel="0" collapsed="false">
      <c r="A256" s="10"/>
      <c r="B256" s="10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0"/>
    </row>
    <row r="257" customFormat="false" ht="15" hidden="false" customHeight="true" outlineLevel="0" collapsed="false">
      <c r="A257" s="10"/>
      <c r="B257" s="10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0"/>
    </row>
    <row r="258" customFormat="false" ht="15" hidden="false" customHeight="true" outlineLevel="0" collapsed="false">
      <c r="A258" s="10"/>
      <c r="B258" s="10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0"/>
    </row>
    <row r="259" customFormat="false" ht="15" hidden="false" customHeight="true" outlineLevel="0" collapsed="false">
      <c r="A259" s="10"/>
      <c r="B259" s="10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0"/>
    </row>
    <row r="260" customFormat="false" ht="15" hidden="false" customHeight="true" outlineLevel="0" collapsed="false">
      <c r="A260" s="10"/>
      <c r="B260" s="10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0"/>
    </row>
    <row r="261" customFormat="false" ht="15" hidden="false" customHeight="true" outlineLevel="0" collapsed="false">
      <c r="A261" s="10"/>
      <c r="B261" s="10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0"/>
    </row>
    <row r="262" customFormat="false" ht="15" hidden="false" customHeight="true" outlineLevel="0" collapsed="false">
      <c r="A262" s="10"/>
      <c r="B262" s="10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0"/>
    </row>
    <row r="263" customFormat="false" ht="15" hidden="false" customHeight="true" outlineLevel="0" collapsed="false">
      <c r="A263" s="10"/>
      <c r="B263" s="10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0"/>
    </row>
    <row r="264" customFormat="false" ht="15" hidden="false" customHeight="true" outlineLevel="0" collapsed="false">
      <c r="A264" s="10"/>
      <c r="B264" s="10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0"/>
    </row>
    <row r="265" customFormat="false" ht="15" hidden="false" customHeight="true" outlineLevel="0" collapsed="false">
      <c r="A265" s="10"/>
      <c r="B265" s="10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0"/>
    </row>
    <row r="266" customFormat="false" ht="15" hidden="false" customHeight="true" outlineLevel="0" collapsed="false">
      <c r="A266" s="10"/>
      <c r="B266" s="10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0"/>
    </row>
    <row r="267" customFormat="false" ht="15" hidden="false" customHeight="true" outlineLevel="0" collapsed="false">
      <c r="A267" s="10"/>
      <c r="B267" s="10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0"/>
    </row>
    <row r="268" customFormat="false" ht="15" hidden="false" customHeight="true" outlineLevel="0" collapsed="false">
      <c r="A268" s="10"/>
      <c r="B268" s="10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0"/>
    </row>
    <row r="269" customFormat="false" ht="15" hidden="false" customHeight="true" outlineLevel="0" collapsed="false">
      <c r="A269" s="10"/>
      <c r="B269" s="10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0"/>
    </row>
    <row r="270" customFormat="false" ht="15" hidden="false" customHeight="true" outlineLevel="0" collapsed="false">
      <c r="A270" s="10"/>
      <c r="B270" s="10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0"/>
    </row>
    <row r="271" customFormat="false" ht="15" hidden="false" customHeight="true" outlineLevel="0" collapsed="false">
      <c r="A271" s="10"/>
      <c r="B271" s="10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0"/>
    </row>
    <row r="272" customFormat="false" ht="15" hidden="false" customHeight="true" outlineLevel="0" collapsed="false">
      <c r="A272" s="10"/>
      <c r="B272" s="10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0"/>
    </row>
    <row r="273" customFormat="false" ht="15" hidden="false" customHeight="true" outlineLevel="0" collapsed="false">
      <c r="A273" s="10"/>
      <c r="B273" s="10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0"/>
    </row>
    <row r="274" customFormat="false" ht="15" hidden="false" customHeight="true" outlineLevel="0" collapsed="false">
      <c r="A274" s="10"/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0"/>
    </row>
    <row r="275" customFormat="false" ht="15" hidden="false" customHeight="true" outlineLevel="0" collapsed="false">
      <c r="A275" s="10"/>
      <c r="B275" s="10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0"/>
    </row>
    <row r="276" customFormat="false" ht="15" hidden="false" customHeight="true" outlineLevel="0" collapsed="false">
      <c r="A276" s="10"/>
      <c r="B276" s="10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0"/>
    </row>
    <row r="277" customFormat="false" ht="15" hidden="false" customHeight="true" outlineLevel="0" collapsed="false">
      <c r="A277" s="10"/>
      <c r="B277" s="10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0"/>
    </row>
    <row r="278" customFormat="false" ht="15" hidden="false" customHeight="true" outlineLevel="0" collapsed="false">
      <c r="A278" s="10"/>
      <c r="B278" s="10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0"/>
    </row>
    <row r="279" customFormat="false" ht="15" hidden="false" customHeight="true" outlineLevel="0" collapsed="false">
      <c r="A279" s="10"/>
      <c r="B279" s="10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0"/>
    </row>
    <row r="280" customFormat="false" ht="15" hidden="false" customHeight="true" outlineLevel="0" collapsed="false">
      <c r="A280" s="10"/>
      <c r="B280" s="10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0"/>
    </row>
    <row r="281" customFormat="false" ht="15" hidden="false" customHeight="true" outlineLevel="0" collapsed="false">
      <c r="A281" s="10"/>
      <c r="B281" s="10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0"/>
    </row>
    <row r="282" customFormat="false" ht="15" hidden="false" customHeight="true" outlineLevel="0" collapsed="false">
      <c r="A282" s="10"/>
      <c r="B282" s="10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0"/>
    </row>
    <row r="283" customFormat="false" ht="15" hidden="false" customHeight="true" outlineLevel="0" collapsed="false">
      <c r="A283" s="10"/>
      <c r="B283" s="10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0"/>
    </row>
    <row r="284" customFormat="false" ht="15" hidden="false" customHeight="true" outlineLevel="0" collapsed="false">
      <c r="A284" s="10"/>
      <c r="B284" s="10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0"/>
    </row>
    <row r="285" customFormat="false" ht="15" hidden="false" customHeight="true" outlineLevel="0" collapsed="false">
      <c r="A285" s="10"/>
      <c r="B285" s="10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0"/>
    </row>
    <row r="286" customFormat="false" ht="15" hidden="false" customHeight="true" outlineLevel="0" collapsed="false">
      <c r="A286" s="10"/>
      <c r="B286" s="10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0"/>
    </row>
    <row r="287" customFormat="false" ht="15" hidden="false" customHeight="true" outlineLevel="0" collapsed="false">
      <c r="A287" s="10"/>
      <c r="B287" s="10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0"/>
    </row>
    <row r="288" customFormat="false" ht="15" hidden="false" customHeight="true" outlineLevel="0" collapsed="false">
      <c r="A288" s="10"/>
      <c r="B288" s="10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0"/>
    </row>
    <row r="289" customFormat="false" ht="15" hidden="false" customHeight="true" outlineLevel="0" collapsed="false">
      <c r="A289" s="10"/>
      <c r="B289" s="10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0"/>
    </row>
    <row r="290" customFormat="false" ht="15" hidden="false" customHeight="true" outlineLevel="0" collapsed="false">
      <c r="A290" s="10"/>
      <c r="B290" s="10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0"/>
    </row>
    <row r="291" customFormat="false" ht="15" hidden="false" customHeight="true" outlineLevel="0" collapsed="false">
      <c r="A291" s="10"/>
      <c r="B291" s="10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0"/>
    </row>
    <row r="292" customFormat="false" ht="15" hidden="false" customHeight="true" outlineLevel="0" collapsed="false">
      <c r="A292" s="10"/>
      <c r="B292" s="10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0"/>
    </row>
    <row r="293" customFormat="false" ht="15" hidden="false" customHeight="true" outlineLevel="0" collapsed="false">
      <c r="A293" s="10"/>
      <c r="B293" s="10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0"/>
    </row>
    <row r="294" customFormat="false" ht="15" hidden="false" customHeight="true" outlineLevel="0" collapsed="false">
      <c r="A294" s="10"/>
      <c r="B294" s="10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0"/>
    </row>
    <row r="295" customFormat="false" ht="15" hidden="false" customHeight="true" outlineLevel="0" collapsed="false">
      <c r="A295" s="10"/>
      <c r="B295" s="10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0"/>
    </row>
    <row r="296" customFormat="false" ht="15" hidden="false" customHeight="true" outlineLevel="0" collapsed="false">
      <c r="A296" s="10"/>
      <c r="B296" s="10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0"/>
    </row>
    <row r="297" customFormat="false" ht="15" hidden="false" customHeight="true" outlineLevel="0" collapsed="false">
      <c r="A297" s="10"/>
      <c r="B297" s="10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0"/>
    </row>
    <row r="298" customFormat="false" ht="15" hidden="false" customHeight="true" outlineLevel="0" collapsed="false">
      <c r="A298" s="10"/>
      <c r="B298" s="10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0"/>
    </row>
    <row r="299" customFormat="false" ht="15" hidden="false" customHeight="true" outlineLevel="0" collapsed="false">
      <c r="A299" s="10"/>
      <c r="B299" s="10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0"/>
    </row>
    <row r="300" customFormat="false" ht="15" hidden="false" customHeight="true" outlineLevel="0" collapsed="false">
      <c r="A300" s="10"/>
      <c r="B300" s="10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0"/>
    </row>
    <row r="301" customFormat="false" ht="15" hidden="false" customHeight="true" outlineLevel="0" collapsed="false">
      <c r="A301" s="10"/>
      <c r="B301" s="10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0"/>
    </row>
    <row r="302" customFormat="false" ht="15" hidden="false" customHeight="true" outlineLevel="0" collapsed="false">
      <c r="A302" s="10"/>
      <c r="B302" s="10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0"/>
    </row>
    <row r="303" customFormat="false" ht="15" hidden="false" customHeight="true" outlineLevel="0" collapsed="false">
      <c r="A303" s="10"/>
      <c r="B303" s="10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0"/>
    </row>
    <row r="304" customFormat="false" ht="15" hidden="false" customHeight="true" outlineLevel="0" collapsed="false">
      <c r="A304" s="10"/>
      <c r="B304" s="10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0"/>
    </row>
    <row r="305" customFormat="false" ht="15" hidden="false" customHeight="true" outlineLevel="0" collapsed="false">
      <c r="A305" s="10"/>
      <c r="B305" s="10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0"/>
    </row>
    <row r="306" customFormat="false" ht="15" hidden="false" customHeight="true" outlineLevel="0" collapsed="false">
      <c r="A306" s="10"/>
      <c r="B306" s="10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0"/>
    </row>
  </sheetData>
  <mergeCells count="3">
    <mergeCell ref="C4:F4"/>
    <mergeCell ref="G4:J4"/>
    <mergeCell ref="K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14" min="3" style="1" width="13"/>
    <col collapsed="false" customWidth="true" hidden="false" outlineLevel="0" max="15" min="15" style="1" width="26"/>
  </cols>
  <sheetData>
    <row r="1" customFormat="false" ht="15" hidden="false" customHeight="true" outlineLevel="0" collapsed="false">
      <c r="A1" s="2" t="s">
        <v>35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C4" s="4" t="s">
        <v>2</v>
      </c>
      <c r="D4" s="4"/>
      <c r="E4" s="4"/>
      <c r="F4" s="4"/>
      <c r="G4" s="5" t="s">
        <v>3</v>
      </c>
      <c r="H4" s="5"/>
      <c r="I4" s="5"/>
      <c r="J4" s="5"/>
      <c r="K4" s="6" t="s">
        <v>4</v>
      </c>
      <c r="L4" s="6"/>
      <c r="M4" s="6"/>
      <c r="N4" s="6"/>
    </row>
    <row r="5" customFormat="false" ht="45" hidden="false" customHeight="true" outlineLevel="0" collapsed="false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7</v>
      </c>
      <c r="L5" s="7" t="s">
        <v>8</v>
      </c>
      <c r="M5" s="7" t="s">
        <v>9</v>
      </c>
      <c r="N5" s="7" t="s">
        <v>10</v>
      </c>
      <c r="O5" s="7" t="s">
        <v>11</v>
      </c>
    </row>
    <row r="6" customFormat="false" ht="15" hidden="false" customHeight="true" outlineLevel="0" collapsed="false">
      <c r="A6" s="8" t="s">
        <v>12</v>
      </c>
      <c r="B6" s="8" t="s">
        <v>13</v>
      </c>
      <c r="C6" s="9" t="n">
        <v>9000</v>
      </c>
      <c r="D6" s="9" t="n">
        <v>6500</v>
      </c>
      <c r="E6" s="9" t="n">
        <v>12000</v>
      </c>
      <c r="F6" s="9" t="n">
        <v>300</v>
      </c>
      <c r="G6" s="9" t="n">
        <v>8000</v>
      </c>
      <c r="H6" s="9" t="n">
        <v>5800</v>
      </c>
      <c r="I6" s="9" t="n">
        <v>11000</v>
      </c>
      <c r="J6" s="9" t="n">
        <v>250</v>
      </c>
      <c r="K6" s="9" t="n">
        <v>6500</v>
      </c>
      <c r="L6" s="9" t="n">
        <v>4800</v>
      </c>
      <c r="M6" s="9" t="n">
        <v>9500</v>
      </c>
      <c r="N6" s="9" t="n">
        <v>200</v>
      </c>
      <c r="O6" s="8" t="s">
        <v>14</v>
      </c>
    </row>
    <row r="7" customFormat="false" ht="15" hidden="false" customHeight="true" outlineLevel="0" collapsed="false">
      <c r="A7" s="10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0"/>
    </row>
    <row r="8" customFormat="false" ht="15" hidden="false" customHeight="true" outlineLevel="0" collapsed="false">
      <c r="A8" s="10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0"/>
    </row>
    <row r="9" customFormat="false" ht="15" hidden="false" customHeight="true" outlineLevel="0" collapsed="false">
      <c r="A9" s="10"/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"/>
    </row>
    <row r="10" customFormat="false" ht="15" hidden="false" customHeight="true" outlineLevel="0" collapsed="false">
      <c r="A10" s="10"/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0"/>
    </row>
    <row r="11" customFormat="false" ht="15" hidden="false" customHeight="true" outlineLevel="0" collapsed="false">
      <c r="A11" s="10"/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0"/>
    </row>
    <row r="12" customFormat="false" ht="15" hidden="false" customHeight="true" outlineLevel="0" collapsed="false">
      <c r="A12" s="10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0"/>
    </row>
    <row r="13" customFormat="false" ht="15" hidden="false" customHeight="true" outlineLevel="0" collapsed="false">
      <c r="A13" s="10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0"/>
    </row>
    <row r="14" customFormat="false" ht="15" hidden="false" customHeight="true" outlineLevel="0" collapsed="false">
      <c r="A14" s="10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0"/>
    </row>
    <row r="15" customFormat="false" ht="15" hidden="false" customHeight="true" outlineLevel="0" collapsed="false">
      <c r="A15" s="10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0"/>
    </row>
    <row r="16" customFormat="false" ht="15" hidden="false" customHeight="true" outlineLevel="0" collapsed="false">
      <c r="A16" s="10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0"/>
    </row>
    <row r="17" customFormat="false" ht="15" hidden="false" customHeight="true" outlineLevel="0" collapsed="false">
      <c r="A17" s="10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0"/>
    </row>
    <row r="18" customFormat="false" ht="15" hidden="false" customHeight="true" outlineLevel="0" collapsed="false">
      <c r="A18" s="10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0"/>
    </row>
    <row r="19" customFormat="false" ht="15" hidden="false" customHeight="true" outlineLevel="0" collapsed="false">
      <c r="A19" s="10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0"/>
    </row>
    <row r="20" customFormat="false" ht="15" hidden="false" customHeight="true" outlineLevel="0" collapsed="false">
      <c r="A20" s="10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0"/>
    </row>
    <row r="21" customFormat="false" ht="15" hidden="false" customHeight="true" outlineLevel="0" collapsed="false">
      <c r="A21" s="10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0"/>
    </row>
    <row r="22" customFormat="false" ht="15" hidden="false" customHeight="true" outlineLevel="0" collapsed="false">
      <c r="A22" s="10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0"/>
    </row>
    <row r="23" customFormat="false" ht="15" hidden="false" customHeight="true" outlineLevel="0" collapsed="false">
      <c r="A23" s="10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0"/>
    </row>
    <row r="24" customFormat="false" ht="15" hidden="false" customHeight="true" outlineLevel="0" collapsed="false">
      <c r="A24" s="10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0"/>
    </row>
    <row r="25" customFormat="false" ht="15" hidden="false" customHeight="true" outlineLevel="0" collapsed="false">
      <c r="A25" s="10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0"/>
    </row>
    <row r="26" customFormat="false" ht="15" hidden="false" customHeight="true" outlineLevel="0" collapsed="false">
      <c r="A26" s="10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0"/>
    </row>
    <row r="27" customFormat="false" ht="15" hidden="false" customHeight="true" outlineLevel="0" collapsed="false">
      <c r="A27" s="10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0"/>
    </row>
    <row r="28" customFormat="false" ht="15" hidden="false" customHeight="true" outlineLevel="0" collapsed="false">
      <c r="A28" s="10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0"/>
    </row>
    <row r="29" customFormat="false" ht="15" hidden="false" customHeight="true" outlineLevel="0" collapsed="false">
      <c r="A29" s="10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0"/>
    </row>
    <row r="30" customFormat="false" ht="15" hidden="false" customHeight="true" outlineLevel="0" collapsed="false">
      <c r="A30" s="10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0"/>
    </row>
    <row r="31" customFormat="false" ht="15" hidden="false" customHeight="true" outlineLevel="0" collapsed="false">
      <c r="A31" s="10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0"/>
    </row>
    <row r="32" customFormat="false" ht="15" hidden="false" customHeight="true" outlineLevel="0" collapsed="false">
      <c r="A32" s="10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0"/>
    </row>
    <row r="33" customFormat="false" ht="15" hidden="false" customHeight="true" outlineLevel="0" collapsed="false">
      <c r="A33" s="10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0"/>
    </row>
    <row r="34" customFormat="false" ht="15" hidden="false" customHeight="true" outlineLevel="0" collapsed="false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0"/>
    </row>
    <row r="35" customFormat="false" ht="15" hidden="false" customHeight="true" outlineLevel="0" collapsed="false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0"/>
    </row>
    <row r="36" customFormat="false" ht="15" hidden="false" customHeight="true" outlineLevel="0" collapsed="false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0"/>
    </row>
    <row r="37" customFormat="false" ht="15" hidden="false" customHeight="true" outlineLevel="0" collapsed="false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0"/>
    </row>
    <row r="38" customFormat="false" ht="15" hidden="false" customHeight="true" outlineLevel="0" collapsed="false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0"/>
    </row>
    <row r="39" customFormat="false" ht="15" hidden="false" customHeight="true" outlineLevel="0" collapsed="false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0"/>
    </row>
    <row r="40" customFormat="false" ht="15" hidden="false" customHeight="true" outlineLevel="0" collapsed="false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0"/>
    </row>
    <row r="41" customFormat="false" ht="15" hidden="false" customHeight="true" outlineLevel="0" collapsed="false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0"/>
    </row>
    <row r="42" customFormat="false" ht="15" hidden="false" customHeight="true" outlineLevel="0" collapsed="false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0"/>
    </row>
    <row r="43" customFormat="false" ht="15" hidden="false" customHeight="true" outlineLevel="0" collapsed="false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0"/>
    </row>
    <row r="44" customFormat="false" ht="15" hidden="false" customHeight="true" outlineLevel="0" collapsed="false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0"/>
    </row>
    <row r="45" customFormat="false" ht="15" hidden="false" customHeight="true" outlineLevel="0" collapsed="false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0"/>
    </row>
    <row r="46" customFormat="false" ht="15" hidden="false" customHeight="true" outlineLevel="0" collapsed="false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0"/>
    </row>
    <row r="47" customFormat="false" ht="15" hidden="false" customHeight="true" outlineLevel="0" collapsed="false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0"/>
    </row>
    <row r="48" customFormat="false" ht="15" hidden="false" customHeight="true" outlineLevel="0" collapsed="false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0"/>
    </row>
    <row r="49" customFormat="false" ht="15" hidden="false" customHeight="true" outlineLevel="0" collapsed="false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0"/>
    </row>
    <row r="50" customFormat="false" ht="15" hidden="false" customHeight="true" outlineLevel="0" collapsed="false">
      <c r="A50" s="10"/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0"/>
    </row>
    <row r="51" customFormat="false" ht="15" hidden="false" customHeight="true" outlineLevel="0" collapsed="false">
      <c r="A51" s="10"/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0"/>
    </row>
    <row r="52" customFormat="false" ht="15" hidden="false" customHeight="true" outlineLevel="0" collapsed="false">
      <c r="A52" s="10"/>
      <c r="B52" s="1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0"/>
    </row>
    <row r="53" customFormat="false" ht="15" hidden="false" customHeight="true" outlineLevel="0" collapsed="false">
      <c r="A53" s="10"/>
      <c r="B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0"/>
    </row>
    <row r="54" customFormat="false" ht="15" hidden="false" customHeight="true" outlineLevel="0" collapsed="false">
      <c r="A54" s="10"/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0"/>
    </row>
    <row r="55" customFormat="false" ht="15" hidden="false" customHeight="true" outlineLevel="0" collapsed="false">
      <c r="A55" s="10"/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0"/>
    </row>
    <row r="56" customFormat="false" ht="15" hidden="false" customHeight="true" outlineLevel="0" collapsed="false">
      <c r="A56" s="10"/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0"/>
    </row>
    <row r="57" customFormat="false" ht="15" hidden="false" customHeight="true" outlineLevel="0" collapsed="false">
      <c r="A57" s="10"/>
      <c r="B57" s="1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0"/>
    </row>
    <row r="58" customFormat="false" ht="15" hidden="false" customHeight="true" outlineLevel="0" collapsed="false">
      <c r="A58" s="10"/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0"/>
    </row>
    <row r="59" customFormat="false" ht="15" hidden="false" customHeight="true" outlineLevel="0" collapsed="false">
      <c r="A59" s="10"/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0"/>
    </row>
    <row r="60" customFormat="false" ht="15" hidden="false" customHeight="true" outlineLevel="0" collapsed="false">
      <c r="A60" s="10"/>
      <c r="B60" s="10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0"/>
    </row>
    <row r="61" customFormat="false" ht="15" hidden="false" customHeight="true" outlineLevel="0" collapsed="false">
      <c r="A61" s="10"/>
      <c r="B61" s="1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0"/>
    </row>
    <row r="62" customFormat="false" ht="15" hidden="false" customHeight="true" outlineLevel="0" collapsed="false">
      <c r="A62" s="10"/>
      <c r="B62" s="10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0"/>
    </row>
    <row r="63" customFormat="false" ht="15" hidden="false" customHeight="true" outlineLevel="0" collapsed="false">
      <c r="A63" s="10"/>
      <c r="B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0"/>
    </row>
    <row r="64" customFormat="false" ht="15" hidden="false" customHeight="true" outlineLevel="0" collapsed="false">
      <c r="A64" s="10"/>
      <c r="B64" s="10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0"/>
    </row>
    <row r="65" customFormat="false" ht="15" hidden="false" customHeight="true" outlineLevel="0" collapsed="false">
      <c r="A65" s="10"/>
      <c r="B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0"/>
    </row>
    <row r="66" customFormat="false" ht="15" hidden="false" customHeight="true" outlineLevel="0" collapsed="false">
      <c r="A66" s="10"/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0"/>
    </row>
    <row r="67" customFormat="false" ht="15" hidden="false" customHeight="true" outlineLevel="0" collapsed="false">
      <c r="A67" s="10"/>
      <c r="B67" s="1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0"/>
    </row>
    <row r="68" customFormat="false" ht="15" hidden="false" customHeight="true" outlineLevel="0" collapsed="false">
      <c r="A68" s="10"/>
      <c r="B68" s="1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0"/>
    </row>
    <row r="69" customFormat="false" ht="15" hidden="false" customHeight="true" outlineLevel="0" collapsed="false">
      <c r="A69" s="10"/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0"/>
    </row>
    <row r="70" customFormat="false" ht="15" hidden="false" customHeight="true" outlineLevel="0" collapsed="false">
      <c r="A70" s="10"/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0"/>
    </row>
    <row r="71" customFormat="false" ht="15" hidden="false" customHeight="true" outlineLevel="0" collapsed="false">
      <c r="A71" s="10"/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0"/>
    </row>
    <row r="72" customFormat="false" ht="15" hidden="false" customHeight="true" outlineLevel="0" collapsed="false">
      <c r="A72" s="10"/>
      <c r="B72" s="1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0"/>
    </row>
    <row r="73" customFormat="false" ht="15" hidden="false" customHeight="true" outlineLevel="0" collapsed="false">
      <c r="A73" s="10"/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0"/>
    </row>
    <row r="74" customFormat="false" ht="15" hidden="false" customHeight="true" outlineLevel="0" collapsed="false">
      <c r="A74" s="10"/>
      <c r="B74" s="10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0"/>
    </row>
    <row r="75" customFormat="false" ht="15" hidden="false" customHeight="true" outlineLevel="0" collapsed="false">
      <c r="A75" s="10"/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0"/>
    </row>
    <row r="76" customFormat="false" ht="15" hidden="false" customHeight="true" outlineLevel="0" collapsed="false">
      <c r="A76" s="10"/>
      <c r="B76" s="10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0"/>
    </row>
    <row r="77" customFormat="false" ht="15" hidden="false" customHeight="true" outlineLevel="0" collapsed="false">
      <c r="A77" s="10"/>
      <c r="B77" s="1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0"/>
    </row>
    <row r="78" customFormat="false" ht="15" hidden="false" customHeight="true" outlineLevel="0" collapsed="false">
      <c r="A78" s="10"/>
      <c r="B78" s="1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0"/>
    </row>
    <row r="79" customFormat="false" ht="15" hidden="false" customHeight="true" outlineLevel="0" collapsed="false">
      <c r="A79" s="10"/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0"/>
    </row>
    <row r="80" customFormat="false" ht="15" hidden="false" customHeight="true" outlineLevel="0" collapsed="false">
      <c r="A80" s="10"/>
      <c r="B80" s="10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0"/>
    </row>
    <row r="81" customFormat="false" ht="15" hidden="false" customHeight="true" outlineLevel="0" collapsed="false">
      <c r="A81" s="10"/>
      <c r="B81" s="10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0"/>
    </row>
    <row r="82" customFormat="false" ht="15" hidden="false" customHeight="true" outlineLevel="0" collapsed="false">
      <c r="A82" s="10"/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0"/>
    </row>
    <row r="83" customFormat="false" ht="15" hidden="false" customHeight="true" outlineLevel="0" collapsed="false">
      <c r="A83" s="10"/>
      <c r="B83" s="1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0"/>
    </row>
    <row r="84" customFormat="false" ht="15" hidden="false" customHeight="true" outlineLevel="0" collapsed="false">
      <c r="A84" s="10"/>
      <c r="B84" s="10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0"/>
    </row>
    <row r="85" customFormat="false" ht="15" hidden="false" customHeight="true" outlineLevel="0" collapsed="false">
      <c r="A85" s="10"/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0"/>
    </row>
    <row r="86" customFormat="false" ht="15" hidden="false" customHeight="true" outlineLevel="0" collapsed="false">
      <c r="A86" s="10"/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0"/>
    </row>
    <row r="87" customFormat="false" ht="15" hidden="false" customHeight="true" outlineLevel="0" collapsed="false">
      <c r="A87" s="10"/>
      <c r="B87" s="10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0"/>
    </row>
    <row r="88" customFormat="false" ht="15" hidden="false" customHeight="true" outlineLevel="0" collapsed="false">
      <c r="A88" s="10"/>
      <c r="B88" s="10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0"/>
    </row>
    <row r="89" customFormat="false" ht="15" hidden="false" customHeight="true" outlineLevel="0" collapsed="false">
      <c r="A89" s="10"/>
      <c r="B89" s="1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0"/>
    </row>
    <row r="90" customFormat="false" ht="15" hidden="false" customHeight="true" outlineLevel="0" collapsed="false">
      <c r="A90" s="10"/>
      <c r="B90" s="10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0"/>
    </row>
    <row r="91" customFormat="false" ht="15" hidden="false" customHeight="true" outlineLevel="0" collapsed="false">
      <c r="A91" s="10"/>
      <c r="B91" s="10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0"/>
    </row>
    <row r="92" customFormat="false" ht="15" hidden="false" customHeight="true" outlineLevel="0" collapsed="false">
      <c r="A92" s="10"/>
      <c r="B92" s="10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0"/>
    </row>
    <row r="93" customFormat="false" ht="15" hidden="false" customHeight="true" outlineLevel="0" collapsed="false">
      <c r="A93" s="10"/>
      <c r="B93" s="1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0"/>
    </row>
    <row r="94" customFormat="false" ht="15" hidden="false" customHeight="true" outlineLevel="0" collapsed="false">
      <c r="A94" s="10"/>
      <c r="B94" s="10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0"/>
    </row>
    <row r="95" customFormat="false" ht="15" hidden="false" customHeight="true" outlineLevel="0" collapsed="false">
      <c r="A95" s="10"/>
      <c r="B95" s="10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0"/>
    </row>
    <row r="96" customFormat="false" ht="15" hidden="false" customHeight="true" outlineLevel="0" collapsed="false">
      <c r="A96" s="10"/>
      <c r="B96" s="10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0"/>
    </row>
    <row r="97" customFormat="false" ht="15" hidden="false" customHeight="true" outlineLevel="0" collapsed="false">
      <c r="A97" s="10"/>
      <c r="B97" s="10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/>
    </row>
    <row r="98" customFormat="false" ht="15" hidden="false" customHeight="true" outlineLevel="0" collapsed="false">
      <c r="A98" s="10"/>
      <c r="B98" s="1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0"/>
    </row>
    <row r="99" customFormat="false" ht="15" hidden="false" customHeight="true" outlineLevel="0" collapsed="false">
      <c r="A99" s="10"/>
      <c r="B99" s="10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0"/>
    </row>
    <row r="100" customFormat="false" ht="15" hidden="false" customHeight="true" outlineLevel="0" collapsed="false">
      <c r="A100" s="10"/>
      <c r="B100" s="10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0"/>
    </row>
    <row r="101" customFormat="false" ht="15" hidden="false" customHeight="true" outlineLevel="0" collapsed="false">
      <c r="A101" s="10"/>
      <c r="B101" s="1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0"/>
    </row>
    <row r="102" customFormat="false" ht="15" hidden="false" customHeight="true" outlineLevel="0" collapsed="false">
      <c r="A102" s="10"/>
      <c r="B102" s="10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0"/>
    </row>
    <row r="103" customFormat="false" ht="15" hidden="false" customHeight="true" outlineLevel="0" collapsed="false">
      <c r="A103" s="10"/>
      <c r="B103" s="1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0"/>
    </row>
    <row r="104" customFormat="false" ht="15" hidden="false" customHeight="true" outlineLevel="0" collapsed="false">
      <c r="A104" s="10"/>
      <c r="B104" s="10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0"/>
    </row>
    <row r="105" customFormat="false" ht="15" hidden="false" customHeight="true" outlineLevel="0" collapsed="false">
      <c r="A105" s="10"/>
      <c r="B105" s="10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0"/>
    </row>
    <row r="106" customFormat="false" ht="15" hidden="false" customHeight="true" outlineLevel="0" collapsed="false">
      <c r="A106" s="10"/>
      <c r="B106" s="10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/>
    </row>
    <row r="107" customFormat="false" ht="15" hidden="false" customHeight="true" outlineLevel="0" collapsed="false">
      <c r="A107" s="10"/>
      <c r="B107" s="10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0"/>
    </row>
    <row r="108" customFormat="false" ht="15" hidden="false" customHeight="true" outlineLevel="0" collapsed="false">
      <c r="A108" s="10"/>
      <c r="B108" s="10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0"/>
    </row>
    <row r="109" customFormat="false" ht="15" hidden="false" customHeight="true" outlineLevel="0" collapsed="false">
      <c r="A109" s="10"/>
      <c r="B109" s="10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0"/>
    </row>
    <row r="110" customFormat="false" ht="15" hidden="false" customHeight="true" outlineLevel="0" collapsed="false">
      <c r="A110" s="10"/>
      <c r="B110" s="10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0"/>
    </row>
    <row r="111" customFormat="false" ht="15" hidden="false" customHeight="true" outlineLevel="0" collapsed="false">
      <c r="A111" s="10"/>
      <c r="B111" s="10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0"/>
    </row>
    <row r="112" customFormat="false" ht="15" hidden="false" customHeight="true" outlineLevel="0" collapsed="false">
      <c r="A112" s="10"/>
      <c r="B112" s="10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0"/>
    </row>
    <row r="113" customFormat="false" ht="15" hidden="false" customHeight="true" outlineLevel="0" collapsed="false">
      <c r="A113" s="10"/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0"/>
    </row>
    <row r="114" customFormat="false" ht="15" hidden="false" customHeight="true" outlineLevel="0" collapsed="false">
      <c r="A114" s="10"/>
      <c r="B114" s="10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0"/>
    </row>
    <row r="115" customFormat="false" ht="15" hidden="false" customHeight="true" outlineLevel="0" collapsed="false">
      <c r="A115" s="10"/>
      <c r="B115" s="10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0"/>
    </row>
    <row r="116" customFormat="false" ht="15" hidden="false" customHeight="true" outlineLevel="0" collapsed="false">
      <c r="A116" s="10"/>
      <c r="B116" s="10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0"/>
    </row>
    <row r="117" customFormat="false" ht="15" hidden="false" customHeight="true" outlineLevel="0" collapsed="false">
      <c r="A117" s="10"/>
      <c r="B117" s="10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0"/>
    </row>
    <row r="118" customFormat="false" ht="15" hidden="false" customHeight="true" outlineLevel="0" collapsed="false">
      <c r="A118" s="10"/>
      <c r="B118" s="10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0"/>
    </row>
    <row r="119" customFormat="false" ht="15" hidden="false" customHeight="true" outlineLevel="0" collapsed="false">
      <c r="A119" s="10"/>
      <c r="B119" s="10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0"/>
    </row>
    <row r="120" customFormat="false" ht="15" hidden="false" customHeight="true" outlineLevel="0" collapsed="false">
      <c r="A120" s="10"/>
      <c r="B120" s="10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0"/>
    </row>
    <row r="121" customFormat="false" ht="15" hidden="false" customHeight="true" outlineLevel="0" collapsed="false">
      <c r="A121" s="10"/>
      <c r="B121" s="10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0"/>
    </row>
    <row r="122" customFormat="false" ht="15" hidden="false" customHeight="true" outlineLevel="0" collapsed="false">
      <c r="A122" s="10"/>
      <c r="B122" s="10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0"/>
    </row>
    <row r="123" customFormat="false" ht="15" hidden="false" customHeight="true" outlineLevel="0" collapsed="false">
      <c r="A123" s="10"/>
      <c r="B123" s="10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0"/>
    </row>
    <row r="124" customFormat="false" ht="15" hidden="false" customHeight="true" outlineLevel="0" collapsed="false">
      <c r="A124" s="10"/>
      <c r="B124" s="10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0"/>
    </row>
    <row r="125" customFormat="false" ht="15" hidden="false" customHeight="true" outlineLevel="0" collapsed="false">
      <c r="A125" s="10"/>
      <c r="B125" s="10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0"/>
    </row>
    <row r="126" customFormat="false" ht="15" hidden="false" customHeight="true" outlineLevel="0" collapsed="false">
      <c r="A126" s="10"/>
      <c r="B126" s="10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0"/>
    </row>
    <row r="127" customFormat="false" ht="15" hidden="false" customHeight="true" outlineLevel="0" collapsed="false">
      <c r="A127" s="10"/>
      <c r="B127" s="10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0"/>
    </row>
    <row r="128" customFormat="false" ht="15" hidden="false" customHeight="true" outlineLevel="0" collapsed="false">
      <c r="A128" s="10"/>
      <c r="B128" s="10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0"/>
    </row>
    <row r="129" customFormat="false" ht="15" hidden="false" customHeight="true" outlineLevel="0" collapsed="false">
      <c r="A129" s="10"/>
      <c r="B129" s="10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0"/>
    </row>
    <row r="130" customFormat="false" ht="15" hidden="false" customHeight="true" outlineLevel="0" collapsed="false">
      <c r="A130" s="10"/>
      <c r="B130" s="10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0"/>
    </row>
    <row r="131" customFormat="false" ht="15" hidden="false" customHeight="true" outlineLevel="0" collapsed="false">
      <c r="A131" s="10"/>
      <c r="B131" s="10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0"/>
    </row>
    <row r="132" customFormat="false" ht="15" hidden="false" customHeight="true" outlineLevel="0" collapsed="false">
      <c r="A132" s="10"/>
      <c r="B132" s="10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0"/>
    </row>
    <row r="133" customFormat="false" ht="15" hidden="false" customHeight="true" outlineLevel="0" collapsed="false">
      <c r="A133" s="10"/>
      <c r="B133" s="10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0"/>
    </row>
    <row r="134" customFormat="false" ht="15" hidden="false" customHeight="true" outlineLevel="0" collapsed="false">
      <c r="A134" s="10"/>
      <c r="B134" s="10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0"/>
    </row>
    <row r="135" customFormat="false" ht="15" hidden="false" customHeight="true" outlineLevel="0" collapsed="false">
      <c r="A135" s="10"/>
      <c r="B135" s="10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0"/>
    </row>
    <row r="136" customFormat="false" ht="15" hidden="false" customHeight="true" outlineLevel="0" collapsed="false">
      <c r="A136" s="10"/>
      <c r="B136" s="10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0"/>
    </row>
    <row r="137" customFormat="false" ht="15" hidden="false" customHeight="true" outlineLevel="0" collapsed="false">
      <c r="A137" s="10"/>
      <c r="B137" s="10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0"/>
    </row>
    <row r="138" customFormat="false" ht="15" hidden="false" customHeight="true" outlineLevel="0" collapsed="false">
      <c r="A138" s="10"/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0"/>
    </row>
    <row r="139" customFormat="false" ht="15" hidden="false" customHeight="true" outlineLevel="0" collapsed="false">
      <c r="A139" s="10"/>
      <c r="B139" s="10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0"/>
    </row>
    <row r="140" customFormat="false" ht="15" hidden="false" customHeight="true" outlineLevel="0" collapsed="false">
      <c r="A140" s="10"/>
      <c r="B140" s="10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0"/>
    </row>
    <row r="141" customFormat="false" ht="15" hidden="false" customHeight="true" outlineLevel="0" collapsed="false">
      <c r="A141" s="10"/>
      <c r="B141" s="1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0"/>
    </row>
    <row r="142" customFormat="false" ht="15" hidden="false" customHeight="true" outlineLevel="0" collapsed="false">
      <c r="A142" s="10"/>
      <c r="B142" s="10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0"/>
    </row>
    <row r="143" customFormat="false" ht="15" hidden="false" customHeight="true" outlineLevel="0" collapsed="false">
      <c r="A143" s="10"/>
      <c r="B143" s="10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0"/>
    </row>
    <row r="144" customFormat="false" ht="15" hidden="false" customHeight="true" outlineLevel="0" collapsed="false">
      <c r="A144" s="10"/>
      <c r="B144" s="1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0"/>
    </row>
    <row r="145" customFormat="false" ht="15" hidden="false" customHeight="true" outlineLevel="0" collapsed="false">
      <c r="A145" s="10"/>
      <c r="B145" s="10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0"/>
    </row>
    <row r="146" customFormat="false" ht="15" hidden="false" customHeight="true" outlineLevel="0" collapsed="false">
      <c r="A146" s="10"/>
      <c r="B146" s="10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0"/>
    </row>
    <row r="147" customFormat="false" ht="15" hidden="false" customHeight="true" outlineLevel="0" collapsed="false">
      <c r="A147" s="10"/>
      <c r="B147" s="10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0"/>
    </row>
    <row r="148" customFormat="false" ht="15" hidden="false" customHeight="true" outlineLevel="0" collapsed="false">
      <c r="A148" s="10"/>
      <c r="B148" s="10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0"/>
    </row>
    <row r="149" customFormat="false" ht="15" hidden="false" customHeight="true" outlineLevel="0" collapsed="false">
      <c r="A149" s="10"/>
      <c r="B149" s="10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0"/>
    </row>
    <row r="150" customFormat="false" ht="15" hidden="false" customHeight="true" outlineLevel="0" collapsed="false">
      <c r="A150" s="10"/>
      <c r="B150" s="1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0"/>
    </row>
    <row r="151" customFormat="false" ht="15" hidden="false" customHeight="true" outlineLevel="0" collapsed="false">
      <c r="A151" s="10"/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0"/>
    </row>
    <row r="152" customFormat="false" ht="15" hidden="false" customHeight="true" outlineLevel="0" collapsed="false">
      <c r="A152" s="10"/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0"/>
    </row>
    <row r="153" customFormat="false" ht="15" hidden="false" customHeight="true" outlineLevel="0" collapsed="false">
      <c r="A153" s="10"/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0"/>
    </row>
    <row r="154" customFormat="false" ht="15" hidden="false" customHeight="true" outlineLevel="0" collapsed="false">
      <c r="A154" s="10"/>
      <c r="B154" s="10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0"/>
    </row>
    <row r="155" customFormat="false" ht="15" hidden="false" customHeight="true" outlineLevel="0" collapsed="false">
      <c r="A155" s="10"/>
      <c r="B155" s="10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0"/>
    </row>
    <row r="156" customFormat="false" ht="15" hidden="false" customHeight="true" outlineLevel="0" collapsed="false">
      <c r="A156" s="10"/>
      <c r="B156" s="10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0"/>
    </row>
    <row r="157" customFormat="false" ht="15" hidden="false" customHeight="true" outlineLevel="0" collapsed="false">
      <c r="A157" s="10"/>
      <c r="B157" s="10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0"/>
    </row>
    <row r="158" customFormat="false" ht="15" hidden="false" customHeight="true" outlineLevel="0" collapsed="false">
      <c r="A158" s="10"/>
      <c r="B158" s="10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0"/>
    </row>
    <row r="159" customFormat="false" ht="15" hidden="false" customHeight="true" outlineLevel="0" collapsed="false">
      <c r="A159" s="10"/>
      <c r="B159" s="10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0"/>
    </row>
    <row r="160" customFormat="false" ht="15" hidden="false" customHeight="true" outlineLevel="0" collapsed="false">
      <c r="A160" s="10"/>
      <c r="B160" s="10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0"/>
    </row>
    <row r="161" customFormat="false" ht="15" hidden="false" customHeight="true" outlineLevel="0" collapsed="false">
      <c r="A161" s="10"/>
      <c r="B161" s="10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0"/>
    </row>
    <row r="162" customFormat="false" ht="15" hidden="false" customHeight="true" outlineLevel="0" collapsed="false">
      <c r="A162" s="10"/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0"/>
    </row>
    <row r="163" customFormat="false" ht="15" hidden="false" customHeight="true" outlineLevel="0" collapsed="false">
      <c r="A163" s="10"/>
      <c r="B163" s="10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0"/>
    </row>
    <row r="164" customFormat="false" ht="15" hidden="false" customHeight="true" outlineLevel="0" collapsed="false">
      <c r="A164" s="10"/>
      <c r="B164" s="10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0"/>
    </row>
    <row r="165" customFormat="false" ht="15" hidden="false" customHeight="true" outlineLevel="0" collapsed="false">
      <c r="A165" s="10"/>
      <c r="B165" s="1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0"/>
    </row>
    <row r="166" customFormat="false" ht="15" hidden="false" customHeight="true" outlineLevel="0" collapsed="false">
      <c r="A166" s="10"/>
      <c r="B166" s="10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0"/>
    </row>
    <row r="167" customFormat="false" ht="15" hidden="false" customHeight="true" outlineLevel="0" collapsed="false">
      <c r="A167" s="10"/>
      <c r="B167" s="10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0"/>
    </row>
    <row r="168" customFormat="false" ht="15" hidden="false" customHeight="true" outlineLevel="0" collapsed="false">
      <c r="A168" s="10"/>
      <c r="B168" s="10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0"/>
    </row>
    <row r="169" customFormat="false" ht="15" hidden="false" customHeight="true" outlineLevel="0" collapsed="false">
      <c r="A169" s="10"/>
      <c r="B169" s="10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0"/>
    </row>
    <row r="170" customFormat="false" ht="15" hidden="false" customHeight="true" outlineLevel="0" collapsed="false">
      <c r="A170" s="10"/>
      <c r="B170" s="10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0"/>
    </row>
    <row r="171" customFormat="false" ht="15" hidden="false" customHeight="true" outlineLevel="0" collapsed="false">
      <c r="A171" s="10"/>
      <c r="B171" s="10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0"/>
    </row>
    <row r="172" customFormat="false" ht="15" hidden="false" customHeight="true" outlineLevel="0" collapsed="false">
      <c r="A172" s="10"/>
      <c r="B172" s="10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0"/>
    </row>
    <row r="173" customFormat="false" ht="15" hidden="false" customHeight="true" outlineLevel="0" collapsed="false">
      <c r="A173" s="10"/>
      <c r="B173" s="10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0"/>
    </row>
    <row r="174" customFormat="false" ht="15" hidden="false" customHeight="true" outlineLevel="0" collapsed="false">
      <c r="A174" s="10"/>
      <c r="B174" s="10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0"/>
    </row>
    <row r="175" customFormat="false" ht="15" hidden="false" customHeight="true" outlineLevel="0" collapsed="false">
      <c r="A175" s="10"/>
      <c r="B175" s="10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0"/>
    </row>
    <row r="176" customFormat="false" ht="15" hidden="false" customHeight="true" outlineLevel="0" collapsed="false">
      <c r="A176" s="10"/>
      <c r="B176" s="10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0"/>
    </row>
    <row r="177" customFormat="false" ht="15" hidden="false" customHeight="true" outlineLevel="0" collapsed="false">
      <c r="A177" s="10"/>
      <c r="B177" s="10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0"/>
    </row>
    <row r="178" customFormat="false" ht="15" hidden="false" customHeight="true" outlineLevel="0" collapsed="false">
      <c r="A178" s="10"/>
      <c r="B178" s="10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0"/>
    </row>
    <row r="179" customFormat="false" ht="15" hidden="false" customHeight="true" outlineLevel="0" collapsed="false">
      <c r="A179" s="10"/>
      <c r="B179" s="10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0"/>
    </row>
    <row r="180" customFormat="false" ht="15" hidden="false" customHeight="true" outlineLevel="0" collapsed="false">
      <c r="A180" s="10"/>
      <c r="B180" s="10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0"/>
    </row>
    <row r="181" customFormat="false" ht="15" hidden="false" customHeight="true" outlineLevel="0" collapsed="false">
      <c r="A181" s="10"/>
      <c r="B181" s="10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0"/>
    </row>
    <row r="182" customFormat="false" ht="15" hidden="false" customHeight="true" outlineLevel="0" collapsed="false">
      <c r="A182" s="10"/>
      <c r="B182" s="10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0"/>
    </row>
    <row r="183" customFormat="false" ht="15" hidden="false" customHeight="true" outlineLevel="0" collapsed="false">
      <c r="A183" s="10"/>
      <c r="B183" s="10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0"/>
    </row>
    <row r="184" customFormat="false" ht="15" hidden="false" customHeight="true" outlineLevel="0" collapsed="false">
      <c r="A184" s="10"/>
      <c r="B184" s="10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0"/>
    </row>
    <row r="185" customFormat="false" ht="15" hidden="false" customHeight="true" outlineLevel="0" collapsed="false">
      <c r="A185" s="10"/>
      <c r="B185" s="10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0"/>
    </row>
    <row r="186" customFormat="false" ht="15" hidden="false" customHeight="true" outlineLevel="0" collapsed="false">
      <c r="A186" s="10"/>
      <c r="B186" s="10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0"/>
    </row>
    <row r="187" customFormat="false" ht="15" hidden="false" customHeight="true" outlineLevel="0" collapsed="false">
      <c r="A187" s="10"/>
      <c r="B187" s="10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0"/>
    </row>
    <row r="188" customFormat="false" ht="15" hidden="false" customHeight="true" outlineLevel="0" collapsed="false">
      <c r="A188" s="10"/>
      <c r="B188" s="10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0"/>
    </row>
    <row r="189" customFormat="false" ht="15" hidden="false" customHeight="true" outlineLevel="0" collapsed="false">
      <c r="A189" s="10"/>
      <c r="B189" s="10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0"/>
    </row>
    <row r="190" customFormat="false" ht="15" hidden="false" customHeight="true" outlineLevel="0" collapsed="false">
      <c r="A190" s="10"/>
      <c r="B190" s="10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0"/>
    </row>
    <row r="191" customFormat="false" ht="15" hidden="false" customHeight="true" outlineLevel="0" collapsed="false">
      <c r="A191" s="10"/>
      <c r="B191" s="10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0"/>
    </row>
    <row r="192" customFormat="false" ht="15" hidden="false" customHeight="true" outlineLevel="0" collapsed="false">
      <c r="A192" s="10"/>
      <c r="B192" s="10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0"/>
    </row>
    <row r="193" customFormat="false" ht="15" hidden="false" customHeight="true" outlineLevel="0" collapsed="false">
      <c r="A193" s="10"/>
      <c r="B193" s="10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0"/>
    </row>
    <row r="194" customFormat="false" ht="15" hidden="false" customHeight="true" outlineLevel="0" collapsed="false">
      <c r="A194" s="10"/>
      <c r="B194" s="10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0"/>
    </row>
    <row r="195" customFormat="false" ht="15" hidden="false" customHeight="true" outlineLevel="0" collapsed="false">
      <c r="A195" s="10"/>
      <c r="B195" s="10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0"/>
    </row>
    <row r="196" customFormat="false" ht="15" hidden="false" customHeight="true" outlineLevel="0" collapsed="false">
      <c r="A196" s="10"/>
      <c r="B196" s="10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0"/>
    </row>
    <row r="197" customFormat="false" ht="15" hidden="false" customHeight="true" outlineLevel="0" collapsed="false">
      <c r="A197" s="10"/>
      <c r="B197" s="10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0"/>
    </row>
    <row r="198" customFormat="false" ht="15" hidden="false" customHeight="true" outlineLevel="0" collapsed="false">
      <c r="A198" s="10"/>
      <c r="B198" s="10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0"/>
    </row>
    <row r="199" customFormat="false" ht="15" hidden="false" customHeight="true" outlineLevel="0" collapsed="false">
      <c r="A199" s="10"/>
      <c r="B199" s="10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0"/>
    </row>
    <row r="200" customFormat="false" ht="15" hidden="false" customHeight="true" outlineLevel="0" collapsed="false">
      <c r="A200" s="10"/>
      <c r="B200" s="10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0"/>
    </row>
    <row r="201" customFormat="false" ht="15" hidden="false" customHeight="true" outlineLevel="0" collapsed="false">
      <c r="A201" s="10"/>
      <c r="B201" s="10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0"/>
    </row>
    <row r="202" customFormat="false" ht="15" hidden="false" customHeight="true" outlineLevel="0" collapsed="false">
      <c r="A202" s="10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0"/>
    </row>
    <row r="203" customFormat="false" ht="15" hidden="false" customHeight="true" outlineLevel="0" collapsed="false">
      <c r="A203" s="10"/>
      <c r="B203" s="10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0"/>
    </row>
    <row r="204" customFormat="false" ht="15" hidden="false" customHeight="true" outlineLevel="0" collapsed="false">
      <c r="A204" s="10"/>
      <c r="B204" s="10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0"/>
    </row>
    <row r="205" customFormat="false" ht="15" hidden="false" customHeight="true" outlineLevel="0" collapsed="false">
      <c r="A205" s="10"/>
      <c r="B205" s="10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0"/>
    </row>
    <row r="206" customFormat="false" ht="15" hidden="false" customHeight="true" outlineLevel="0" collapsed="false">
      <c r="A206" s="10"/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0"/>
    </row>
    <row r="207" customFormat="false" ht="15" hidden="false" customHeight="true" outlineLevel="0" collapsed="false">
      <c r="A207" s="10"/>
      <c r="B207" s="10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0"/>
    </row>
    <row r="208" customFormat="false" ht="15" hidden="false" customHeight="true" outlineLevel="0" collapsed="false">
      <c r="A208" s="10"/>
      <c r="B208" s="10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0"/>
    </row>
    <row r="209" customFormat="false" ht="15" hidden="false" customHeight="true" outlineLevel="0" collapsed="false">
      <c r="A209" s="10"/>
      <c r="B209" s="10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0"/>
    </row>
    <row r="210" customFormat="false" ht="15" hidden="false" customHeight="true" outlineLevel="0" collapsed="false">
      <c r="A210" s="10"/>
      <c r="B210" s="10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0"/>
    </row>
    <row r="211" customFormat="false" ht="15" hidden="false" customHeight="true" outlineLevel="0" collapsed="false">
      <c r="A211" s="10"/>
      <c r="B211" s="10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0"/>
    </row>
    <row r="212" customFormat="false" ht="15" hidden="false" customHeight="true" outlineLevel="0" collapsed="false">
      <c r="A212" s="10"/>
      <c r="B212" s="10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0"/>
    </row>
    <row r="213" customFormat="false" ht="15" hidden="false" customHeight="true" outlineLevel="0" collapsed="false">
      <c r="A213" s="10"/>
      <c r="B213" s="10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0"/>
    </row>
    <row r="214" customFormat="false" ht="15" hidden="false" customHeight="true" outlineLevel="0" collapsed="false">
      <c r="A214" s="10"/>
      <c r="B214" s="10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0"/>
    </row>
    <row r="215" customFormat="false" ht="15" hidden="false" customHeight="true" outlineLevel="0" collapsed="false">
      <c r="A215" s="10"/>
      <c r="B215" s="10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0"/>
    </row>
    <row r="216" customFormat="false" ht="15" hidden="false" customHeight="true" outlineLevel="0" collapsed="false">
      <c r="A216" s="10"/>
      <c r="B216" s="10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0"/>
    </row>
    <row r="217" customFormat="false" ht="15" hidden="false" customHeight="true" outlineLevel="0" collapsed="false">
      <c r="A217" s="10"/>
      <c r="B217" s="10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0"/>
    </row>
    <row r="218" customFormat="false" ht="15" hidden="false" customHeight="true" outlineLevel="0" collapsed="false">
      <c r="A218" s="10"/>
      <c r="B218" s="10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0"/>
    </row>
    <row r="219" customFormat="false" ht="15" hidden="false" customHeight="true" outlineLevel="0" collapsed="false">
      <c r="A219" s="10"/>
      <c r="B219" s="10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0"/>
    </row>
    <row r="220" customFormat="false" ht="15" hidden="false" customHeight="true" outlineLevel="0" collapsed="false">
      <c r="A220" s="10"/>
      <c r="B220" s="10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0"/>
    </row>
    <row r="221" customFormat="false" ht="15" hidden="false" customHeight="true" outlineLevel="0" collapsed="false">
      <c r="A221" s="10"/>
      <c r="B221" s="10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0"/>
    </row>
    <row r="222" customFormat="false" ht="15" hidden="false" customHeight="true" outlineLevel="0" collapsed="false">
      <c r="A222" s="10"/>
      <c r="B222" s="10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0"/>
    </row>
    <row r="223" customFormat="false" ht="15" hidden="false" customHeight="true" outlineLevel="0" collapsed="false">
      <c r="A223" s="10"/>
      <c r="B223" s="10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0"/>
    </row>
    <row r="224" customFormat="false" ht="15" hidden="false" customHeight="true" outlineLevel="0" collapsed="false">
      <c r="A224" s="10"/>
      <c r="B224" s="10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0"/>
    </row>
    <row r="225" customFormat="false" ht="15" hidden="false" customHeight="true" outlineLevel="0" collapsed="false">
      <c r="A225" s="10"/>
      <c r="B225" s="10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0"/>
    </row>
    <row r="226" customFormat="false" ht="15" hidden="false" customHeight="true" outlineLevel="0" collapsed="false">
      <c r="A226" s="10"/>
      <c r="B226" s="10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0"/>
    </row>
    <row r="227" customFormat="false" ht="15" hidden="false" customHeight="true" outlineLevel="0" collapsed="false">
      <c r="A227" s="10"/>
      <c r="B227" s="10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0"/>
    </row>
    <row r="228" customFormat="false" ht="15" hidden="false" customHeight="true" outlineLevel="0" collapsed="false">
      <c r="A228" s="10"/>
      <c r="B228" s="10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0"/>
    </row>
    <row r="229" customFormat="false" ht="15" hidden="false" customHeight="true" outlineLevel="0" collapsed="false">
      <c r="A229" s="10"/>
      <c r="B229" s="10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0"/>
    </row>
    <row r="230" customFormat="false" ht="15" hidden="false" customHeight="true" outlineLevel="0" collapsed="false">
      <c r="A230" s="10"/>
      <c r="B230" s="10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0"/>
    </row>
    <row r="231" customFormat="false" ht="15" hidden="false" customHeight="true" outlineLevel="0" collapsed="false">
      <c r="A231" s="10"/>
      <c r="B231" s="10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0"/>
    </row>
    <row r="232" customFormat="false" ht="15" hidden="false" customHeight="true" outlineLevel="0" collapsed="false">
      <c r="A232" s="10"/>
      <c r="B232" s="10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0"/>
    </row>
    <row r="233" customFormat="false" ht="15" hidden="false" customHeight="true" outlineLevel="0" collapsed="false">
      <c r="A233" s="10"/>
      <c r="B233" s="10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0"/>
    </row>
    <row r="234" customFormat="false" ht="15" hidden="false" customHeight="true" outlineLevel="0" collapsed="false">
      <c r="A234" s="10"/>
      <c r="B234" s="10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0"/>
    </row>
    <row r="235" customFormat="false" ht="15" hidden="false" customHeight="true" outlineLevel="0" collapsed="false">
      <c r="A235" s="10"/>
      <c r="B235" s="10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0"/>
    </row>
    <row r="236" customFormat="false" ht="15" hidden="false" customHeight="true" outlineLevel="0" collapsed="false">
      <c r="A236" s="10"/>
      <c r="B236" s="10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0"/>
    </row>
    <row r="237" customFormat="false" ht="15" hidden="false" customHeight="true" outlineLevel="0" collapsed="false">
      <c r="A237" s="10"/>
      <c r="B237" s="10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0"/>
    </row>
    <row r="238" customFormat="false" ht="15" hidden="false" customHeight="true" outlineLevel="0" collapsed="false">
      <c r="A238" s="10"/>
      <c r="B238" s="10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0"/>
    </row>
    <row r="239" customFormat="false" ht="15" hidden="false" customHeight="true" outlineLevel="0" collapsed="false">
      <c r="A239" s="10"/>
      <c r="B239" s="10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0"/>
    </row>
    <row r="240" customFormat="false" ht="15" hidden="false" customHeight="true" outlineLevel="0" collapsed="false">
      <c r="A240" s="10"/>
      <c r="B240" s="10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0"/>
    </row>
    <row r="241" customFormat="false" ht="15" hidden="false" customHeight="true" outlineLevel="0" collapsed="false">
      <c r="A241" s="10"/>
      <c r="B241" s="10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0"/>
    </row>
    <row r="242" customFormat="false" ht="15" hidden="false" customHeight="true" outlineLevel="0" collapsed="false">
      <c r="A242" s="10"/>
      <c r="B242" s="10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0"/>
    </row>
    <row r="243" customFormat="false" ht="15" hidden="false" customHeight="true" outlineLevel="0" collapsed="false">
      <c r="A243" s="10"/>
      <c r="B243" s="10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0"/>
    </row>
    <row r="244" customFormat="false" ht="15" hidden="false" customHeight="true" outlineLevel="0" collapsed="false">
      <c r="A244" s="10"/>
      <c r="B244" s="10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0"/>
    </row>
    <row r="245" customFormat="false" ht="15" hidden="false" customHeight="true" outlineLevel="0" collapsed="false">
      <c r="A245" s="10"/>
      <c r="B245" s="10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0"/>
    </row>
    <row r="246" customFormat="false" ht="15" hidden="false" customHeight="true" outlineLevel="0" collapsed="false">
      <c r="A246" s="10"/>
      <c r="B246" s="10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0"/>
    </row>
    <row r="247" customFormat="false" ht="15" hidden="false" customHeight="true" outlineLevel="0" collapsed="false">
      <c r="A247" s="10"/>
      <c r="B247" s="10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0"/>
    </row>
    <row r="248" customFormat="false" ht="15" hidden="false" customHeight="true" outlineLevel="0" collapsed="false">
      <c r="A248" s="10"/>
      <c r="B248" s="10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0"/>
    </row>
    <row r="249" customFormat="false" ht="15" hidden="false" customHeight="true" outlineLevel="0" collapsed="false">
      <c r="A249" s="10"/>
      <c r="B249" s="10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0"/>
    </row>
    <row r="250" customFormat="false" ht="15" hidden="false" customHeight="true" outlineLevel="0" collapsed="false">
      <c r="A250" s="10"/>
      <c r="B250" s="10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0"/>
    </row>
    <row r="251" customFormat="false" ht="15" hidden="false" customHeight="true" outlineLevel="0" collapsed="false">
      <c r="A251" s="10"/>
      <c r="B251" s="10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0"/>
    </row>
    <row r="252" customFormat="false" ht="15" hidden="false" customHeight="true" outlineLevel="0" collapsed="false">
      <c r="A252" s="10"/>
      <c r="B252" s="10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0"/>
    </row>
    <row r="253" customFormat="false" ht="15" hidden="false" customHeight="true" outlineLevel="0" collapsed="false">
      <c r="A253" s="10"/>
      <c r="B253" s="10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0"/>
    </row>
    <row r="254" customFormat="false" ht="15" hidden="false" customHeight="true" outlineLevel="0" collapsed="false">
      <c r="A254" s="10"/>
      <c r="B254" s="10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0"/>
    </row>
    <row r="255" customFormat="false" ht="15" hidden="false" customHeight="true" outlineLevel="0" collapsed="false">
      <c r="A255" s="10"/>
      <c r="B255" s="10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0"/>
    </row>
    <row r="256" customFormat="false" ht="15" hidden="false" customHeight="true" outlineLevel="0" collapsed="false">
      <c r="A256" s="10"/>
      <c r="B256" s="10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0"/>
    </row>
    <row r="257" customFormat="false" ht="15" hidden="false" customHeight="true" outlineLevel="0" collapsed="false">
      <c r="A257" s="10"/>
      <c r="B257" s="10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0"/>
    </row>
    <row r="258" customFormat="false" ht="15" hidden="false" customHeight="true" outlineLevel="0" collapsed="false">
      <c r="A258" s="10"/>
      <c r="B258" s="10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0"/>
    </row>
    <row r="259" customFormat="false" ht="15" hidden="false" customHeight="true" outlineLevel="0" collapsed="false">
      <c r="A259" s="10"/>
      <c r="B259" s="10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0"/>
    </row>
    <row r="260" customFormat="false" ht="15" hidden="false" customHeight="true" outlineLevel="0" collapsed="false">
      <c r="A260" s="10"/>
      <c r="B260" s="10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0"/>
    </row>
    <row r="261" customFormat="false" ht="15" hidden="false" customHeight="true" outlineLevel="0" collapsed="false">
      <c r="A261" s="10"/>
      <c r="B261" s="10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0"/>
    </row>
    <row r="262" customFormat="false" ht="15" hidden="false" customHeight="true" outlineLevel="0" collapsed="false">
      <c r="A262" s="10"/>
      <c r="B262" s="10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0"/>
    </row>
    <row r="263" customFormat="false" ht="15" hidden="false" customHeight="true" outlineLevel="0" collapsed="false">
      <c r="A263" s="10"/>
      <c r="B263" s="10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0"/>
    </row>
    <row r="264" customFormat="false" ht="15" hidden="false" customHeight="true" outlineLevel="0" collapsed="false">
      <c r="A264" s="10"/>
      <c r="B264" s="10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0"/>
    </row>
    <row r="265" customFormat="false" ht="15" hidden="false" customHeight="true" outlineLevel="0" collapsed="false">
      <c r="A265" s="10"/>
      <c r="B265" s="10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0"/>
    </row>
    <row r="266" customFormat="false" ht="15" hidden="false" customHeight="true" outlineLevel="0" collapsed="false">
      <c r="A266" s="10"/>
      <c r="B266" s="10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0"/>
    </row>
    <row r="267" customFormat="false" ht="15" hidden="false" customHeight="true" outlineLevel="0" collapsed="false">
      <c r="A267" s="10"/>
      <c r="B267" s="10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0"/>
    </row>
    <row r="268" customFormat="false" ht="15" hidden="false" customHeight="true" outlineLevel="0" collapsed="false">
      <c r="A268" s="10"/>
      <c r="B268" s="10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0"/>
    </row>
    <row r="269" customFormat="false" ht="15" hidden="false" customHeight="true" outlineLevel="0" collapsed="false">
      <c r="A269" s="10"/>
      <c r="B269" s="10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0"/>
    </row>
    <row r="270" customFormat="false" ht="15" hidden="false" customHeight="true" outlineLevel="0" collapsed="false">
      <c r="A270" s="10"/>
      <c r="B270" s="10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0"/>
    </row>
    <row r="271" customFormat="false" ht="15" hidden="false" customHeight="true" outlineLevel="0" collapsed="false">
      <c r="A271" s="10"/>
      <c r="B271" s="10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0"/>
    </row>
    <row r="272" customFormat="false" ht="15" hidden="false" customHeight="true" outlineLevel="0" collapsed="false">
      <c r="A272" s="10"/>
      <c r="B272" s="10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0"/>
    </row>
    <row r="273" customFormat="false" ht="15" hidden="false" customHeight="true" outlineLevel="0" collapsed="false">
      <c r="A273" s="10"/>
      <c r="B273" s="10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0"/>
    </row>
    <row r="274" customFormat="false" ht="15" hidden="false" customHeight="true" outlineLevel="0" collapsed="false">
      <c r="A274" s="10"/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0"/>
    </row>
    <row r="275" customFormat="false" ht="15" hidden="false" customHeight="true" outlineLevel="0" collapsed="false">
      <c r="A275" s="10"/>
      <c r="B275" s="10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0"/>
    </row>
    <row r="276" customFormat="false" ht="15" hidden="false" customHeight="true" outlineLevel="0" collapsed="false">
      <c r="A276" s="10"/>
      <c r="B276" s="10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0"/>
    </row>
    <row r="277" customFormat="false" ht="15" hidden="false" customHeight="true" outlineLevel="0" collapsed="false">
      <c r="A277" s="10"/>
      <c r="B277" s="10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0"/>
    </row>
    <row r="278" customFormat="false" ht="15" hidden="false" customHeight="true" outlineLevel="0" collapsed="false">
      <c r="A278" s="10"/>
      <c r="B278" s="10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0"/>
    </row>
    <row r="279" customFormat="false" ht="15" hidden="false" customHeight="true" outlineLevel="0" collapsed="false">
      <c r="A279" s="10"/>
      <c r="B279" s="10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0"/>
    </row>
    <row r="280" customFormat="false" ht="15" hidden="false" customHeight="true" outlineLevel="0" collapsed="false">
      <c r="A280" s="10"/>
      <c r="B280" s="10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0"/>
    </row>
    <row r="281" customFormat="false" ht="15" hidden="false" customHeight="true" outlineLevel="0" collapsed="false">
      <c r="A281" s="10"/>
      <c r="B281" s="10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0"/>
    </row>
    <row r="282" customFormat="false" ht="15" hidden="false" customHeight="true" outlineLevel="0" collapsed="false">
      <c r="A282" s="10"/>
      <c r="B282" s="10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0"/>
    </row>
    <row r="283" customFormat="false" ht="15" hidden="false" customHeight="true" outlineLevel="0" collapsed="false">
      <c r="A283" s="10"/>
      <c r="B283" s="10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0"/>
    </row>
    <row r="284" customFormat="false" ht="15" hidden="false" customHeight="true" outlineLevel="0" collapsed="false">
      <c r="A284" s="10"/>
      <c r="B284" s="10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0"/>
    </row>
    <row r="285" customFormat="false" ht="15" hidden="false" customHeight="true" outlineLevel="0" collapsed="false">
      <c r="A285" s="10"/>
      <c r="B285" s="10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0"/>
    </row>
    <row r="286" customFormat="false" ht="15" hidden="false" customHeight="true" outlineLevel="0" collapsed="false">
      <c r="A286" s="10"/>
      <c r="B286" s="10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0"/>
    </row>
    <row r="287" customFormat="false" ht="15" hidden="false" customHeight="true" outlineLevel="0" collapsed="false">
      <c r="A287" s="10"/>
      <c r="B287" s="10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0"/>
    </row>
    <row r="288" customFormat="false" ht="15" hidden="false" customHeight="true" outlineLevel="0" collapsed="false">
      <c r="A288" s="10"/>
      <c r="B288" s="10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0"/>
    </row>
    <row r="289" customFormat="false" ht="15" hidden="false" customHeight="true" outlineLevel="0" collapsed="false">
      <c r="A289" s="10"/>
      <c r="B289" s="10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0"/>
    </row>
    <row r="290" customFormat="false" ht="15" hidden="false" customHeight="true" outlineLevel="0" collapsed="false">
      <c r="A290" s="10"/>
      <c r="B290" s="10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0"/>
    </row>
    <row r="291" customFormat="false" ht="15" hidden="false" customHeight="true" outlineLevel="0" collapsed="false">
      <c r="A291" s="10"/>
      <c r="B291" s="10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0"/>
    </row>
    <row r="292" customFormat="false" ht="15" hidden="false" customHeight="true" outlineLevel="0" collapsed="false">
      <c r="A292" s="10"/>
      <c r="B292" s="10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0"/>
    </row>
    <row r="293" customFormat="false" ht="15" hidden="false" customHeight="true" outlineLevel="0" collapsed="false">
      <c r="A293" s="10"/>
      <c r="B293" s="10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0"/>
    </row>
    <row r="294" customFormat="false" ht="15" hidden="false" customHeight="true" outlineLevel="0" collapsed="false">
      <c r="A294" s="10"/>
      <c r="B294" s="10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0"/>
    </row>
    <row r="295" customFormat="false" ht="15" hidden="false" customHeight="true" outlineLevel="0" collapsed="false">
      <c r="A295" s="10"/>
      <c r="B295" s="10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0"/>
    </row>
    <row r="296" customFormat="false" ht="15" hidden="false" customHeight="true" outlineLevel="0" collapsed="false">
      <c r="A296" s="10"/>
      <c r="B296" s="10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0"/>
    </row>
    <row r="297" customFormat="false" ht="15" hidden="false" customHeight="true" outlineLevel="0" collapsed="false">
      <c r="A297" s="10"/>
      <c r="B297" s="10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0"/>
    </row>
    <row r="298" customFormat="false" ht="15" hidden="false" customHeight="true" outlineLevel="0" collapsed="false">
      <c r="A298" s="10"/>
      <c r="B298" s="10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0"/>
    </row>
    <row r="299" customFormat="false" ht="15" hidden="false" customHeight="true" outlineLevel="0" collapsed="false">
      <c r="A299" s="10"/>
      <c r="B299" s="10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0"/>
    </row>
    <row r="300" customFormat="false" ht="15" hidden="false" customHeight="true" outlineLevel="0" collapsed="false">
      <c r="A300" s="10"/>
      <c r="B300" s="10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0"/>
    </row>
    <row r="301" customFormat="false" ht="15" hidden="false" customHeight="true" outlineLevel="0" collapsed="false">
      <c r="A301" s="10"/>
      <c r="B301" s="10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0"/>
    </row>
    <row r="302" customFormat="false" ht="15" hidden="false" customHeight="true" outlineLevel="0" collapsed="false">
      <c r="A302" s="10"/>
      <c r="B302" s="10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0"/>
    </row>
    <row r="303" customFormat="false" ht="15" hidden="false" customHeight="true" outlineLevel="0" collapsed="false">
      <c r="A303" s="10"/>
      <c r="B303" s="10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0"/>
    </row>
    <row r="304" customFormat="false" ht="15" hidden="false" customHeight="true" outlineLevel="0" collapsed="false">
      <c r="A304" s="10"/>
      <c r="B304" s="10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0"/>
    </row>
    <row r="305" customFormat="false" ht="15" hidden="false" customHeight="true" outlineLevel="0" collapsed="false">
      <c r="A305" s="10"/>
      <c r="B305" s="10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0"/>
    </row>
    <row r="306" customFormat="false" ht="15" hidden="false" customHeight="true" outlineLevel="0" collapsed="false">
      <c r="A306" s="10"/>
      <c r="B306" s="10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0"/>
    </row>
  </sheetData>
  <mergeCells count="3">
    <mergeCell ref="C4:F4"/>
    <mergeCell ref="G4:J4"/>
    <mergeCell ref="K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4" min="4" style="1" width="30"/>
  </cols>
  <sheetData>
    <row r="1" customFormat="false" ht="15" hidden="false" customHeight="true" outlineLevel="0" collapsed="false">
      <c r="A1" s="2" t="s">
        <v>36</v>
      </c>
      <c r="B1" s="2" t="s">
        <v>37</v>
      </c>
      <c r="D1" s="2" t="s">
        <v>38</v>
      </c>
    </row>
    <row r="2" customFormat="false" ht="15" hidden="false" customHeight="true" outlineLevel="0" collapsed="false">
      <c r="A2" s="12" t="str">
        <f aca="false">IF(Concealed!A7="","",TRIM(Concealed!A7))</f>
        <v>تهویه</v>
      </c>
      <c r="B2" s="12" t="n">
        <f aca="false">IF(A2="","",IF(COUNTIF(A$2:A2,A2)=1,MAX(B$1:B1)+1,""))</f>
        <v>1</v>
      </c>
      <c r="D2" s="12" t="str">
        <f aca="false">IFERROR(INDEX($A$2:$A$901,MATCH(1,$B$2:$B$901,0)),"")</f>
        <v>تهویه</v>
      </c>
    </row>
    <row r="3" customFormat="false" ht="15" hidden="false" customHeight="true" outlineLevel="0" collapsed="false">
      <c r="A3" s="12" t="str">
        <f aca="false">IF(Concealed!A8="","",TRIM(Concealed!A8))</f>
        <v>تهویه</v>
      </c>
      <c r="B3" s="12" t="str">
        <f aca="false">IF(A3="","",IF(COUNTIF(A$2:A3,A3)=1,MAX(B$1:B2)+1,""))</f>
        <v/>
      </c>
      <c r="D3" s="12" t="str">
        <f aca="false">IFERROR(INDEX($A$2:$A$901,MATCH(2,$B$2:$B$901,0)),"")</f>
        <v/>
      </c>
    </row>
    <row r="4" customFormat="false" ht="15" hidden="false" customHeight="true" outlineLevel="0" collapsed="false">
      <c r="A4" s="12" t="str">
        <f aca="false">IF(Concealed!A9="","",TRIM(Concealed!A9))</f>
        <v>تهویه</v>
      </c>
      <c r="B4" s="12" t="str">
        <f aca="false">IF(A4="","",IF(COUNTIF(A$2:A4,A4)=1,MAX(B$1:B3)+1,""))</f>
        <v/>
      </c>
      <c r="D4" s="12" t="str">
        <f aca="false">IFERROR(INDEX($A$2:$A$901,MATCH(3,$B$2:$B$901,0)),"")</f>
        <v/>
      </c>
    </row>
    <row r="5" customFormat="false" ht="15" hidden="false" customHeight="true" outlineLevel="0" collapsed="false">
      <c r="A5" s="12" t="str">
        <f aca="false">IF(Concealed!A10="","",TRIM(Concealed!A10))</f>
        <v>تهویه</v>
      </c>
      <c r="B5" s="12" t="str">
        <f aca="false">IF(A5="","",IF(COUNTIF(A$2:A5,A5)=1,MAX(B$1:B4)+1,""))</f>
        <v/>
      </c>
      <c r="D5" s="12" t="str">
        <f aca="false">IFERROR(INDEX($A$2:$A$901,MATCH(4,$B$2:$B$901,0)),"")</f>
        <v/>
      </c>
    </row>
    <row r="6" customFormat="false" ht="15" hidden="false" customHeight="true" outlineLevel="0" collapsed="false">
      <c r="A6" s="12" t="str">
        <f aca="false">IF(Concealed!A11="","",TRIM(Concealed!A11))</f>
        <v>تهویه</v>
      </c>
      <c r="B6" s="12" t="str">
        <f aca="false">IF(A6="","",IF(COUNTIF(A$2:A6,A6)=1,MAX(B$1:B5)+1,""))</f>
        <v/>
      </c>
      <c r="D6" s="12" t="str">
        <f aca="false">IFERROR(INDEX($A$2:$A$901,MATCH(5,$B$2:$B$901,0)),"")</f>
        <v/>
      </c>
    </row>
    <row r="7" customFormat="false" ht="15" hidden="false" customHeight="true" outlineLevel="0" collapsed="false">
      <c r="A7" s="12" t="str">
        <f aca="false">IF(Concealed!A12="","",TRIM(Concealed!A12))</f>
        <v>تهویه</v>
      </c>
      <c r="B7" s="12" t="str">
        <f aca="false">IF(A7="","",IF(COUNTIF(A$2:A7,A7)=1,MAX(B$1:B6)+1,""))</f>
        <v/>
      </c>
      <c r="D7" s="12" t="str">
        <f aca="false">IFERROR(INDEX($A$2:$A$901,MATCH(6,$B$2:$B$901,0)),"")</f>
        <v/>
      </c>
    </row>
    <row r="8" customFormat="false" ht="15" hidden="false" customHeight="true" outlineLevel="0" collapsed="false">
      <c r="A8" s="12" t="str">
        <f aca="false">IF(Concealed!A13="","",TRIM(Concealed!A13))</f>
        <v>تهویه</v>
      </c>
      <c r="B8" s="12" t="str">
        <f aca="false">IF(A8="","",IF(COUNTIF(A$2:A8,A8)=1,MAX(B$1:B7)+1,""))</f>
        <v/>
      </c>
      <c r="D8" s="12" t="str">
        <f aca="false">IFERROR(INDEX($A$2:$A$901,MATCH(7,$B$2:$B$901,0)),"")</f>
        <v/>
      </c>
    </row>
    <row r="9" customFormat="false" ht="15" hidden="false" customHeight="true" outlineLevel="0" collapsed="false">
      <c r="A9" s="12" t="str">
        <f aca="false">IF(Concealed!A14="","",TRIM(Concealed!A14))</f>
        <v/>
      </c>
      <c r="B9" s="12" t="str">
        <f aca="false">IF(A9="","",IF(COUNTIF(A$2:A9,A9)=1,MAX(B$1:B8)+1,""))</f>
        <v/>
      </c>
      <c r="D9" s="12" t="str">
        <f aca="false">IFERROR(INDEX($A$2:$A$901,MATCH(8,$B$2:$B$901,0)),"")</f>
        <v/>
      </c>
    </row>
    <row r="10" customFormat="false" ht="15" hidden="false" customHeight="true" outlineLevel="0" collapsed="false">
      <c r="A10" s="12" t="str">
        <f aca="false">IF(Concealed!A15="","",TRIM(Concealed!A15))</f>
        <v/>
      </c>
      <c r="B10" s="12" t="str">
        <f aca="false">IF(A10="","",IF(COUNTIF(A$2:A10,A10)=1,MAX(B$1:B9)+1,""))</f>
        <v/>
      </c>
      <c r="D10" s="12" t="str">
        <f aca="false">IFERROR(INDEX($A$2:$A$901,MATCH(9,$B$2:$B$901,0)),"")</f>
        <v/>
      </c>
    </row>
    <row r="11" customFormat="false" ht="15" hidden="false" customHeight="true" outlineLevel="0" collapsed="false">
      <c r="A11" s="12" t="str">
        <f aca="false">IF(Concealed!A16="","",TRIM(Concealed!A16))</f>
        <v/>
      </c>
      <c r="B11" s="12" t="str">
        <f aca="false">IF(A11="","",IF(COUNTIF(A$2:A11,A11)=1,MAX(B$1:B10)+1,""))</f>
        <v/>
      </c>
      <c r="D11" s="12" t="str">
        <f aca="false">IFERROR(INDEX($A$2:$A$901,MATCH(10,$B$2:$B$901,0)),"")</f>
        <v/>
      </c>
    </row>
    <row r="12" customFormat="false" ht="15" hidden="false" customHeight="true" outlineLevel="0" collapsed="false">
      <c r="A12" s="12" t="str">
        <f aca="false">IF(Concealed!A17="","",TRIM(Concealed!A17))</f>
        <v/>
      </c>
      <c r="B12" s="12" t="str">
        <f aca="false">IF(A12="","",IF(COUNTIF(A$2:A12,A12)=1,MAX(B$1:B11)+1,""))</f>
        <v/>
      </c>
      <c r="D12" s="12" t="str">
        <f aca="false">IFERROR(INDEX($A$2:$A$901,MATCH(11,$B$2:$B$901,0)),"")</f>
        <v/>
      </c>
    </row>
    <row r="13" customFormat="false" ht="15" hidden="false" customHeight="true" outlineLevel="0" collapsed="false">
      <c r="A13" s="12" t="str">
        <f aca="false">IF(Concealed!A18="","",TRIM(Concealed!A18))</f>
        <v/>
      </c>
      <c r="B13" s="12" t="str">
        <f aca="false">IF(A13="","",IF(COUNTIF(A$2:A13,A13)=1,MAX(B$1:B12)+1,""))</f>
        <v/>
      </c>
      <c r="D13" s="12" t="str">
        <f aca="false">IFERROR(INDEX($A$2:$A$901,MATCH(12,$B$2:$B$901,0)),"")</f>
        <v/>
      </c>
    </row>
    <row r="14" customFormat="false" ht="15" hidden="false" customHeight="true" outlineLevel="0" collapsed="false">
      <c r="A14" s="12" t="str">
        <f aca="false">IF(Concealed!A19="","",TRIM(Concealed!A19))</f>
        <v/>
      </c>
      <c r="B14" s="12" t="str">
        <f aca="false">IF(A14="","",IF(COUNTIF(A$2:A14,A14)=1,MAX(B$1:B13)+1,""))</f>
        <v/>
      </c>
      <c r="D14" s="12" t="str">
        <f aca="false">IFERROR(INDEX($A$2:$A$901,MATCH(13,$B$2:$B$901,0)),"")</f>
        <v/>
      </c>
    </row>
    <row r="15" customFormat="false" ht="15" hidden="false" customHeight="true" outlineLevel="0" collapsed="false">
      <c r="A15" s="12" t="str">
        <f aca="false">IF(Concealed!A20="","",TRIM(Concealed!A20))</f>
        <v/>
      </c>
      <c r="B15" s="12" t="str">
        <f aca="false">IF(A15="","",IF(COUNTIF(A$2:A15,A15)=1,MAX(B$1:B14)+1,""))</f>
        <v/>
      </c>
      <c r="D15" s="12" t="str">
        <f aca="false">IFERROR(INDEX($A$2:$A$901,MATCH(14,$B$2:$B$901,0)),"")</f>
        <v/>
      </c>
    </row>
    <row r="16" customFormat="false" ht="15" hidden="false" customHeight="true" outlineLevel="0" collapsed="false">
      <c r="A16" s="12" t="str">
        <f aca="false">IF(Concealed!A21="","",TRIM(Concealed!A21))</f>
        <v/>
      </c>
      <c r="B16" s="12" t="str">
        <f aca="false">IF(A16="","",IF(COUNTIF(A$2:A16,A16)=1,MAX(B$1:B15)+1,""))</f>
        <v/>
      </c>
      <c r="D16" s="12" t="str">
        <f aca="false">IFERROR(INDEX($A$2:$A$901,MATCH(15,$B$2:$B$901,0)),"")</f>
        <v/>
      </c>
    </row>
    <row r="17" customFormat="false" ht="15" hidden="false" customHeight="true" outlineLevel="0" collapsed="false">
      <c r="A17" s="12" t="str">
        <f aca="false">IF(Concealed!A22="","",TRIM(Concealed!A22))</f>
        <v/>
      </c>
      <c r="B17" s="12" t="str">
        <f aca="false">IF(A17="","",IF(COUNTIF(A$2:A17,A17)=1,MAX(B$1:B16)+1,""))</f>
        <v/>
      </c>
      <c r="D17" s="12" t="str">
        <f aca="false">IFERROR(INDEX($A$2:$A$901,MATCH(16,$B$2:$B$901,0)),"")</f>
        <v/>
      </c>
    </row>
    <row r="18" customFormat="false" ht="15" hidden="false" customHeight="true" outlineLevel="0" collapsed="false">
      <c r="A18" s="12" t="str">
        <f aca="false">IF(Concealed!A23="","",TRIM(Concealed!A23))</f>
        <v/>
      </c>
      <c r="B18" s="12" t="str">
        <f aca="false">IF(A18="","",IF(COUNTIF(A$2:A18,A18)=1,MAX(B$1:B17)+1,""))</f>
        <v/>
      </c>
      <c r="D18" s="12" t="str">
        <f aca="false">IFERROR(INDEX($A$2:$A$901,MATCH(17,$B$2:$B$901,0)),"")</f>
        <v/>
      </c>
    </row>
    <row r="19" customFormat="false" ht="15" hidden="false" customHeight="true" outlineLevel="0" collapsed="false">
      <c r="A19" s="12" t="str">
        <f aca="false">IF(Concealed!A24="","",TRIM(Concealed!A24))</f>
        <v/>
      </c>
      <c r="B19" s="12" t="str">
        <f aca="false">IF(A19="","",IF(COUNTIF(A$2:A19,A19)=1,MAX(B$1:B18)+1,""))</f>
        <v/>
      </c>
      <c r="D19" s="12" t="str">
        <f aca="false">IFERROR(INDEX($A$2:$A$901,MATCH(18,$B$2:$B$901,0)),"")</f>
        <v/>
      </c>
    </row>
    <row r="20" customFormat="false" ht="15" hidden="false" customHeight="true" outlineLevel="0" collapsed="false">
      <c r="A20" s="12" t="str">
        <f aca="false">IF(Concealed!A25="","",TRIM(Concealed!A25))</f>
        <v/>
      </c>
      <c r="B20" s="12" t="str">
        <f aca="false">IF(A20="","",IF(COUNTIF(A$2:A20,A20)=1,MAX(B$1:B19)+1,""))</f>
        <v/>
      </c>
      <c r="D20" s="12" t="str">
        <f aca="false">IFERROR(INDEX($A$2:$A$901,MATCH(19,$B$2:$B$901,0)),"")</f>
        <v/>
      </c>
    </row>
    <row r="21" customFormat="false" ht="15" hidden="false" customHeight="true" outlineLevel="0" collapsed="false">
      <c r="A21" s="12" t="str">
        <f aca="false">IF(Concealed!A26="","",TRIM(Concealed!A26))</f>
        <v/>
      </c>
      <c r="B21" s="12" t="str">
        <f aca="false">IF(A21="","",IF(COUNTIF(A$2:A21,A21)=1,MAX(B$1:B20)+1,""))</f>
        <v/>
      </c>
      <c r="D21" s="12" t="str">
        <f aca="false">IFERROR(INDEX($A$2:$A$901,MATCH(20,$B$2:$B$901,0)),"")</f>
        <v/>
      </c>
    </row>
    <row r="22" customFormat="false" ht="15" hidden="false" customHeight="true" outlineLevel="0" collapsed="false">
      <c r="A22" s="12" t="str">
        <f aca="false">IF(Concealed!A27="","",TRIM(Concealed!A27))</f>
        <v/>
      </c>
      <c r="B22" s="12" t="str">
        <f aca="false">IF(A22="","",IF(COUNTIF(A$2:A22,A22)=1,MAX(B$1:B21)+1,""))</f>
        <v/>
      </c>
      <c r="D22" s="12" t="str">
        <f aca="false">IFERROR(INDEX($A$2:$A$901,MATCH(21,$B$2:$B$901,0)),"")</f>
        <v/>
      </c>
    </row>
    <row r="23" customFormat="false" ht="15" hidden="false" customHeight="true" outlineLevel="0" collapsed="false">
      <c r="A23" s="12" t="str">
        <f aca="false">IF(Concealed!A28="","",TRIM(Concealed!A28))</f>
        <v/>
      </c>
      <c r="B23" s="12" t="str">
        <f aca="false">IF(A23="","",IF(COUNTIF(A$2:A23,A23)=1,MAX(B$1:B22)+1,""))</f>
        <v/>
      </c>
      <c r="D23" s="12" t="str">
        <f aca="false">IFERROR(INDEX($A$2:$A$901,MATCH(22,$B$2:$B$901,0)),"")</f>
        <v/>
      </c>
    </row>
    <row r="24" customFormat="false" ht="15" hidden="false" customHeight="true" outlineLevel="0" collapsed="false">
      <c r="A24" s="12" t="str">
        <f aca="false">IF(Concealed!A29="","",TRIM(Concealed!A29))</f>
        <v/>
      </c>
      <c r="B24" s="12" t="str">
        <f aca="false">IF(A24="","",IF(COUNTIF(A$2:A24,A24)=1,MAX(B$1:B23)+1,""))</f>
        <v/>
      </c>
      <c r="D24" s="12" t="str">
        <f aca="false">IFERROR(INDEX($A$2:$A$901,MATCH(23,$B$2:$B$901,0)),"")</f>
        <v/>
      </c>
    </row>
    <row r="25" customFormat="false" ht="15" hidden="false" customHeight="true" outlineLevel="0" collapsed="false">
      <c r="A25" s="12" t="str">
        <f aca="false">IF(Concealed!A30="","",TRIM(Concealed!A30))</f>
        <v/>
      </c>
      <c r="B25" s="12" t="str">
        <f aca="false">IF(A25="","",IF(COUNTIF(A$2:A25,A25)=1,MAX(B$1:B24)+1,""))</f>
        <v/>
      </c>
      <c r="D25" s="12" t="str">
        <f aca="false">IFERROR(INDEX($A$2:$A$901,MATCH(24,$B$2:$B$901,0)),"")</f>
        <v/>
      </c>
    </row>
    <row r="26" customFormat="false" ht="15" hidden="false" customHeight="true" outlineLevel="0" collapsed="false">
      <c r="A26" s="12" t="str">
        <f aca="false">IF(Concealed!A31="","",TRIM(Concealed!A31))</f>
        <v/>
      </c>
      <c r="B26" s="12" t="str">
        <f aca="false">IF(A26="","",IF(COUNTIF(A$2:A26,A26)=1,MAX(B$1:B25)+1,""))</f>
        <v/>
      </c>
      <c r="D26" s="12" t="str">
        <f aca="false">IFERROR(INDEX($A$2:$A$901,MATCH(25,$B$2:$B$901,0)),"")</f>
        <v/>
      </c>
    </row>
    <row r="27" customFormat="false" ht="15" hidden="false" customHeight="true" outlineLevel="0" collapsed="false">
      <c r="A27" s="12" t="str">
        <f aca="false">IF(Concealed!A32="","",TRIM(Concealed!A32))</f>
        <v/>
      </c>
      <c r="B27" s="12" t="str">
        <f aca="false">IF(A27="","",IF(COUNTIF(A$2:A27,A27)=1,MAX(B$1:B26)+1,""))</f>
        <v/>
      </c>
      <c r="D27" s="12" t="str">
        <f aca="false">IFERROR(INDEX($A$2:$A$901,MATCH(26,$B$2:$B$901,0)),"")</f>
        <v/>
      </c>
    </row>
    <row r="28" customFormat="false" ht="15" hidden="false" customHeight="true" outlineLevel="0" collapsed="false">
      <c r="A28" s="12" t="str">
        <f aca="false">IF(Concealed!A33="","",TRIM(Concealed!A33))</f>
        <v/>
      </c>
      <c r="B28" s="12" t="str">
        <f aca="false">IF(A28="","",IF(COUNTIF(A$2:A28,A28)=1,MAX(B$1:B27)+1,""))</f>
        <v/>
      </c>
      <c r="D28" s="12" t="str">
        <f aca="false">IFERROR(INDEX($A$2:$A$901,MATCH(27,$B$2:$B$901,0)),"")</f>
        <v/>
      </c>
    </row>
    <row r="29" customFormat="false" ht="15" hidden="false" customHeight="true" outlineLevel="0" collapsed="false">
      <c r="A29" s="12" t="str">
        <f aca="false">IF(Concealed!A34="","",TRIM(Concealed!A34))</f>
        <v/>
      </c>
      <c r="B29" s="12" t="str">
        <f aca="false">IF(A29="","",IF(COUNTIF(A$2:A29,A29)=1,MAX(B$1:B28)+1,""))</f>
        <v/>
      </c>
      <c r="D29" s="12" t="str">
        <f aca="false">IFERROR(INDEX($A$2:$A$901,MATCH(28,$B$2:$B$901,0)),"")</f>
        <v/>
      </c>
    </row>
    <row r="30" customFormat="false" ht="15" hidden="false" customHeight="true" outlineLevel="0" collapsed="false">
      <c r="A30" s="12" t="str">
        <f aca="false">IF(Concealed!A35="","",TRIM(Concealed!A35))</f>
        <v/>
      </c>
      <c r="B30" s="12" t="str">
        <f aca="false">IF(A30="","",IF(COUNTIF(A$2:A30,A30)=1,MAX(B$1:B29)+1,""))</f>
        <v/>
      </c>
      <c r="D30" s="12" t="str">
        <f aca="false">IFERROR(INDEX($A$2:$A$901,MATCH(29,$B$2:$B$901,0)),"")</f>
        <v/>
      </c>
    </row>
    <row r="31" customFormat="false" ht="15" hidden="false" customHeight="true" outlineLevel="0" collapsed="false">
      <c r="A31" s="12" t="str">
        <f aca="false">IF(Concealed!A36="","",TRIM(Concealed!A36))</f>
        <v/>
      </c>
      <c r="B31" s="12" t="str">
        <f aca="false">IF(A31="","",IF(COUNTIF(A$2:A31,A31)=1,MAX(B$1:B30)+1,""))</f>
        <v/>
      </c>
      <c r="D31" s="12" t="str">
        <f aca="false">IFERROR(INDEX($A$2:$A$901,MATCH(30,$B$2:$B$901,0)),"")</f>
        <v/>
      </c>
    </row>
    <row r="32" customFormat="false" ht="15" hidden="false" customHeight="true" outlineLevel="0" collapsed="false">
      <c r="A32" s="12" t="str">
        <f aca="false">IF(Concealed!A37="","",TRIM(Concealed!A37))</f>
        <v/>
      </c>
      <c r="B32" s="12" t="str">
        <f aca="false">IF(A32="","",IF(COUNTIF(A$2:A32,A32)=1,MAX(B$1:B31)+1,""))</f>
        <v/>
      </c>
      <c r="D32" s="12" t="str">
        <f aca="false">IFERROR(INDEX($A$2:$A$901,MATCH(31,$B$2:$B$901,0)),"")</f>
        <v/>
      </c>
    </row>
    <row r="33" customFormat="false" ht="15" hidden="false" customHeight="true" outlineLevel="0" collapsed="false">
      <c r="A33" s="12" t="str">
        <f aca="false">IF(Concealed!A38="","",TRIM(Concealed!A38))</f>
        <v/>
      </c>
      <c r="B33" s="12" t="str">
        <f aca="false">IF(A33="","",IF(COUNTIF(A$2:A33,A33)=1,MAX(B$1:B32)+1,""))</f>
        <v/>
      </c>
      <c r="D33" s="12" t="str">
        <f aca="false">IFERROR(INDEX($A$2:$A$901,MATCH(32,$B$2:$B$901,0)),"")</f>
        <v/>
      </c>
    </row>
    <row r="34" customFormat="false" ht="15" hidden="false" customHeight="true" outlineLevel="0" collapsed="false">
      <c r="A34" s="12" t="str">
        <f aca="false">IF(Concealed!A39="","",TRIM(Concealed!A39))</f>
        <v/>
      </c>
      <c r="B34" s="12" t="str">
        <f aca="false">IF(A34="","",IF(COUNTIF(A$2:A34,A34)=1,MAX(B$1:B33)+1,""))</f>
        <v/>
      </c>
      <c r="D34" s="12" t="str">
        <f aca="false">IFERROR(INDEX($A$2:$A$901,MATCH(33,$B$2:$B$901,0)),"")</f>
        <v/>
      </c>
    </row>
    <row r="35" customFormat="false" ht="15" hidden="false" customHeight="true" outlineLevel="0" collapsed="false">
      <c r="A35" s="12" t="str">
        <f aca="false">IF(Concealed!A40="","",TRIM(Concealed!A40))</f>
        <v/>
      </c>
      <c r="B35" s="12" t="str">
        <f aca="false">IF(A35="","",IF(COUNTIF(A$2:A35,A35)=1,MAX(B$1:B34)+1,""))</f>
        <v/>
      </c>
      <c r="D35" s="12" t="str">
        <f aca="false">IFERROR(INDEX($A$2:$A$901,MATCH(34,$B$2:$B$901,0)),"")</f>
        <v/>
      </c>
    </row>
    <row r="36" customFormat="false" ht="15" hidden="false" customHeight="true" outlineLevel="0" collapsed="false">
      <c r="A36" s="12" t="str">
        <f aca="false">IF(Concealed!A41="","",TRIM(Concealed!A41))</f>
        <v/>
      </c>
      <c r="B36" s="12" t="str">
        <f aca="false">IF(A36="","",IF(COUNTIF(A$2:A36,A36)=1,MAX(B$1:B35)+1,""))</f>
        <v/>
      </c>
      <c r="D36" s="12" t="str">
        <f aca="false">IFERROR(INDEX($A$2:$A$901,MATCH(35,$B$2:$B$901,0)),"")</f>
        <v/>
      </c>
    </row>
    <row r="37" customFormat="false" ht="15" hidden="false" customHeight="true" outlineLevel="0" collapsed="false">
      <c r="A37" s="12" t="str">
        <f aca="false">IF(Concealed!A42="","",TRIM(Concealed!A42))</f>
        <v/>
      </c>
      <c r="B37" s="12" t="str">
        <f aca="false">IF(A37="","",IF(COUNTIF(A$2:A37,A37)=1,MAX(B$1:B36)+1,""))</f>
        <v/>
      </c>
      <c r="D37" s="12" t="str">
        <f aca="false">IFERROR(INDEX($A$2:$A$901,MATCH(36,$B$2:$B$901,0)),"")</f>
        <v/>
      </c>
    </row>
    <row r="38" customFormat="false" ht="15" hidden="false" customHeight="true" outlineLevel="0" collapsed="false">
      <c r="A38" s="12" t="str">
        <f aca="false">IF(Concealed!A43="","",TRIM(Concealed!A43))</f>
        <v/>
      </c>
      <c r="B38" s="12" t="str">
        <f aca="false">IF(A38="","",IF(COUNTIF(A$2:A38,A38)=1,MAX(B$1:B37)+1,""))</f>
        <v/>
      </c>
      <c r="D38" s="12" t="str">
        <f aca="false">IFERROR(INDEX($A$2:$A$901,MATCH(37,$B$2:$B$901,0)),"")</f>
        <v/>
      </c>
    </row>
    <row r="39" customFormat="false" ht="15" hidden="false" customHeight="true" outlineLevel="0" collapsed="false">
      <c r="A39" s="12" t="str">
        <f aca="false">IF(Concealed!A44="","",TRIM(Concealed!A44))</f>
        <v/>
      </c>
      <c r="B39" s="12" t="str">
        <f aca="false">IF(A39="","",IF(COUNTIF(A$2:A39,A39)=1,MAX(B$1:B38)+1,""))</f>
        <v/>
      </c>
      <c r="D39" s="12" t="str">
        <f aca="false">IFERROR(INDEX($A$2:$A$901,MATCH(38,$B$2:$B$901,0)),"")</f>
        <v/>
      </c>
    </row>
    <row r="40" customFormat="false" ht="15" hidden="false" customHeight="true" outlineLevel="0" collapsed="false">
      <c r="A40" s="12" t="str">
        <f aca="false">IF(Concealed!A45="","",TRIM(Concealed!A45))</f>
        <v/>
      </c>
      <c r="B40" s="12" t="str">
        <f aca="false">IF(A40="","",IF(COUNTIF(A$2:A40,A40)=1,MAX(B$1:B39)+1,""))</f>
        <v/>
      </c>
      <c r="D40" s="12" t="str">
        <f aca="false">IFERROR(INDEX($A$2:$A$901,MATCH(39,$B$2:$B$901,0)),"")</f>
        <v/>
      </c>
    </row>
    <row r="41" customFormat="false" ht="15" hidden="false" customHeight="true" outlineLevel="0" collapsed="false">
      <c r="A41" s="12" t="str">
        <f aca="false">IF(Concealed!A46="","",TRIM(Concealed!A46))</f>
        <v/>
      </c>
      <c r="B41" s="12" t="str">
        <f aca="false">IF(A41="","",IF(COUNTIF(A$2:A41,A41)=1,MAX(B$1:B40)+1,""))</f>
        <v/>
      </c>
      <c r="D41" s="12" t="str">
        <f aca="false">IFERROR(INDEX($A$2:$A$901,MATCH(40,$B$2:$B$901,0)),"")</f>
        <v/>
      </c>
    </row>
    <row r="42" customFormat="false" ht="15" hidden="false" customHeight="true" outlineLevel="0" collapsed="false">
      <c r="A42" s="12" t="str">
        <f aca="false">IF(Concealed!A47="","",TRIM(Concealed!A47))</f>
        <v/>
      </c>
      <c r="B42" s="12" t="str">
        <f aca="false">IF(A42="","",IF(COUNTIF(A$2:A42,A42)=1,MAX(B$1:B41)+1,""))</f>
        <v/>
      </c>
      <c r="D42" s="12" t="str">
        <f aca="false">IFERROR(INDEX($A$2:$A$901,MATCH(41,$B$2:$B$901,0)),"")</f>
        <v/>
      </c>
    </row>
    <row r="43" customFormat="false" ht="15" hidden="false" customHeight="true" outlineLevel="0" collapsed="false">
      <c r="A43" s="12" t="str">
        <f aca="false">IF(Concealed!A48="","",TRIM(Concealed!A48))</f>
        <v/>
      </c>
      <c r="B43" s="12" t="str">
        <f aca="false">IF(A43="","",IF(COUNTIF(A$2:A43,A43)=1,MAX(B$1:B42)+1,""))</f>
        <v/>
      </c>
      <c r="D43" s="12" t="str">
        <f aca="false">IFERROR(INDEX($A$2:$A$901,MATCH(42,$B$2:$B$901,0)),"")</f>
        <v/>
      </c>
    </row>
    <row r="44" customFormat="false" ht="15" hidden="false" customHeight="true" outlineLevel="0" collapsed="false">
      <c r="A44" s="12" t="str">
        <f aca="false">IF(Concealed!A49="","",TRIM(Concealed!A49))</f>
        <v/>
      </c>
      <c r="B44" s="12" t="str">
        <f aca="false">IF(A44="","",IF(COUNTIF(A$2:A44,A44)=1,MAX(B$1:B43)+1,""))</f>
        <v/>
      </c>
      <c r="D44" s="12" t="str">
        <f aca="false">IFERROR(INDEX($A$2:$A$901,MATCH(43,$B$2:$B$901,0)),"")</f>
        <v/>
      </c>
    </row>
    <row r="45" customFormat="false" ht="15" hidden="false" customHeight="true" outlineLevel="0" collapsed="false">
      <c r="A45" s="12" t="str">
        <f aca="false">IF(Concealed!A50="","",TRIM(Concealed!A50))</f>
        <v/>
      </c>
      <c r="B45" s="12" t="str">
        <f aca="false">IF(A45="","",IF(COUNTIF(A$2:A45,A45)=1,MAX(B$1:B44)+1,""))</f>
        <v/>
      </c>
      <c r="D45" s="12" t="str">
        <f aca="false">IFERROR(INDEX($A$2:$A$901,MATCH(44,$B$2:$B$901,0)),"")</f>
        <v/>
      </c>
    </row>
    <row r="46" customFormat="false" ht="15" hidden="false" customHeight="true" outlineLevel="0" collapsed="false">
      <c r="A46" s="12" t="str">
        <f aca="false">IF(Concealed!A51="","",TRIM(Concealed!A51))</f>
        <v/>
      </c>
      <c r="B46" s="12" t="str">
        <f aca="false">IF(A46="","",IF(COUNTIF(A$2:A46,A46)=1,MAX(B$1:B45)+1,""))</f>
        <v/>
      </c>
      <c r="D46" s="12" t="str">
        <f aca="false">IFERROR(INDEX($A$2:$A$901,MATCH(45,$B$2:$B$901,0)),"")</f>
        <v/>
      </c>
    </row>
    <row r="47" customFormat="false" ht="15" hidden="false" customHeight="true" outlineLevel="0" collapsed="false">
      <c r="A47" s="12" t="str">
        <f aca="false">IF(Concealed!A52="","",TRIM(Concealed!A52))</f>
        <v/>
      </c>
      <c r="B47" s="12" t="str">
        <f aca="false">IF(A47="","",IF(COUNTIF(A$2:A47,A47)=1,MAX(B$1:B46)+1,""))</f>
        <v/>
      </c>
      <c r="D47" s="12" t="str">
        <f aca="false">IFERROR(INDEX($A$2:$A$901,MATCH(46,$B$2:$B$901,0)),"")</f>
        <v/>
      </c>
    </row>
    <row r="48" customFormat="false" ht="15" hidden="false" customHeight="true" outlineLevel="0" collapsed="false">
      <c r="A48" s="12" t="str">
        <f aca="false">IF(Concealed!A53="","",TRIM(Concealed!A53))</f>
        <v/>
      </c>
      <c r="B48" s="12" t="str">
        <f aca="false">IF(A48="","",IF(COUNTIF(A$2:A48,A48)=1,MAX(B$1:B47)+1,""))</f>
        <v/>
      </c>
      <c r="D48" s="12" t="str">
        <f aca="false">IFERROR(INDEX($A$2:$A$901,MATCH(47,$B$2:$B$901,0)),"")</f>
        <v/>
      </c>
    </row>
    <row r="49" customFormat="false" ht="15" hidden="false" customHeight="true" outlineLevel="0" collapsed="false">
      <c r="A49" s="12" t="str">
        <f aca="false">IF(Concealed!A54="","",TRIM(Concealed!A54))</f>
        <v/>
      </c>
      <c r="B49" s="12" t="str">
        <f aca="false">IF(A49="","",IF(COUNTIF(A$2:A49,A49)=1,MAX(B$1:B48)+1,""))</f>
        <v/>
      </c>
      <c r="D49" s="12" t="str">
        <f aca="false">IFERROR(INDEX($A$2:$A$901,MATCH(48,$B$2:$B$901,0)),"")</f>
        <v/>
      </c>
    </row>
    <row r="50" customFormat="false" ht="15" hidden="false" customHeight="true" outlineLevel="0" collapsed="false">
      <c r="A50" s="12" t="str">
        <f aca="false">IF(Concealed!A55="","",TRIM(Concealed!A55))</f>
        <v/>
      </c>
      <c r="B50" s="12" t="str">
        <f aca="false">IF(A50="","",IF(COUNTIF(A$2:A50,A50)=1,MAX(B$1:B49)+1,""))</f>
        <v/>
      </c>
      <c r="D50" s="12" t="str">
        <f aca="false">IFERROR(INDEX($A$2:$A$901,MATCH(49,$B$2:$B$901,0)),"")</f>
        <v/>
      </c>
    </row>
    <row r="51" customFormat="false" ht="15" hidden="false" customHeight="true" outlineLevel="0" collapsed="false">
      <c r="A51" s="12" t="str">
        <f aca="false">IF(Concealed!A56="","",TRIM(Concealed!A56))</f>
        <v/>
      </c>
      <c r="B51" s="12" t="str">
        <f aca="false">IF(A51="","",IF(COUNTIF(A$2:A51,A51)=1,MAX(B$1:B50)+1,""))</f>
        <v/>
      </c>
      <c r="D51" s="12" t="str">
        <f aca="false">IFERROR(INDEX($A$2:$A$901,MATCH(50,$B$2:$B$901,0)),"")</f>
        <v/>
      </c>
    </row>
    <row r="52" customFormat="false" ht="15" hidden="false" customHeight="true" outlineLevel="0" collapsed="false">
      <c r="A52" s="12" t="str">
        <f aca="false">IF(Concealed!A57="","",TRIM(Concealed!A57))</f>
        <v/>
      </c>
      <c r="B52" s="12" t="str">
        <f aca="false">IF(A52="","",IF(COUNTIF(A$2:A52,A52)=1,MAX(B$1:B51)+1,""))</f>
        <v/>
      </c>
      <c r="D52" s="12" t="str">
        <f aca="false">IFERROR(INDEX($A$2:$A$901,MATCH(51,$B$2:$B$901,0)),"")</f>
        <v/>
      </c>
    </row>
    <row r="53" customFormat="false" ht="15" hidden="false" customHeight="true" outlineLevel="0" collapsed="false">
      <c r="A53" s="12" t="str">
        <f aca="false">IF(Concealed!A58="","",TRIM(Concealed!A58))</f>
        <v/>
      </c>
      <c r="B53" s="12" t="str">
        <f aca="false">IF(A53="","",IF(COUNTIF(A$2:A53,A53)=1,MAX(B$1:B52)+1,""))</f>
        <v/>
      </c>
      <c r="D53" s="12" t="str">
        <f aca="false">IFERROR(INDEX($A$2:$A$901,MATCH(52,$B$2:$B$901,0)),"")</f>
        <v/>
      </c>
    </row>
    <row r="54" customFormat="false" ht="15" hidden="false" customHeight="true" outlineLevel="0" collapsed="false">
      <c r="A54" s="12" t="str">
        <f aca="false">IF(Concealed!A59="","",TRIM(Concealed!A59))</f>
        <v/>
      </c>
      <c r="B54" s="12" t="str">
        <f aca="false">IF(A54="","",IF(COUNTIF(A$2:A54,A54)=1,MAX(B$1:B53)+1,""))</f>
        <v/>
      </c>
      <c r="D54" s="12" t="str">
        <f aca="false">IFERROR(INDEX($A$2:$A$901,MATCH(53,$B$2:$B$901,0)),"")</f>
        <v/>
      </c>
    </row>
    <row r="55" customFormat="false" ht="15" hidden="false" customHeight="true" outlineLevel="0" collapsed="false">
      <c r="A55" s="12" t="str">
        <f aca="false">IF(Concealed!A60="","",TRIM(Concealed!A60))</f>
        <v/>
      </c>
      <c r="B55" s="12" t="str">
        <f aca="false">IF(A55="","",IF(COUNTIF(A$2:A55,A55)=1,MAX(B$1:B54)+1,""))</f>
        <v/>
      </c>
      <c r="D55" s="12" t="str">
        <f aca="false">IFERROR(INDEX($A$2:$A$901,MATCH(54,$B$2:$B$901,0)),"")</f>
        <v/>
      </c>
    </row>
    <row r="56" customFormat="false" ht="15" hidden="false" customHeight="true" outlineLevel="0" collapsed="false">
      <c r="A56" s="12" t="str">
        <f aca="false">IF(Concealed!A61="","",TRIM(Concealed!A61))</f>
        <v/>
      </c>
      <c r="B56" s="12" t="str">
        <f aca="false">IF(A56="","",IF(COUNTIF(A$2:A56,A56)=1,MAX(B$1:B55)+1,""))</f>
        <v/>
      </c>
      <c r="D56" s="12" t="str">
        <f aca="false">IFERROR(INDEX($A$2:$A$901,MATCH(55,$B$2:$B$901,0)),"")</f>
        <v/>
      </c>
    </row>
    <row r="57" customFormat="false" ht="15" hidden="false" customHeight="true" outlineLevel="0" collapsed="false">
      <c r="A57" s="12" t="str">
        <f aca="false">IF(Concealed!A62="","",TRIM(Concealed!A62))</f>
        <v/>
      </c>
      <c r="B57" s="12" t="str">
        <f aca="false">IF(A57="","",IF(COUNTIF(A$2:A57,A57)=1,MAX(B$1:B56)+1,""))</f>
        <v/>
      </c>
      <c r="D57" s="12" t="str">
        <f aca="false">IFERROR(INDEX($A$2:$A$901,MATCH(56,$B$2:$B$901,0)),"")</f>
        <v/>
      </c>
    </row>
    <row r="58" customFormat="false" ht="15" hidden="false" customHeight="true" outlineLevel="0" collapsed="false">
      <c r="A58" s="12" t="str">
        <f aca="false">IF(Concealed!A63="","",TRIM(Concealed!A63))</f>
        <v/>
      </c>
      <c r="B58" s="12" t="str">
        <f aca="false">IF(A58="","",IF(COUNTIF(A$2:A58,A58)=1,MAX(B$1:B57)+1,""))</f>
        <v/>
      </c>
      <c r="D58" s="12" t="str">
        <f aca="false">IFERROR(INDEX($A$2:$A$901,MATCH(57,$B$2:$B$901,0)),"")</f>
        <v/>
      </c>
    </row>
    <row r="59" customFormat="false" ht="15" hidden="false" customHeight="true" outlineLevel="0" collapsed="false">
      <c r="A59" s="12" t="str">
        <f aca="false">IF(Concealed!A64="","",TRIM(Concealed!A64))</f>
        <v/>
      </c>
      <c r="B59" s="12" t="str">
        <f aca="false">IF(A59="","",IF(COUNTIF(A$2:A59,A59)=1,MAX(B$1:B58)+1,""))</f>
        <v/>
      </c>
      <c r="D59" s="12" t="str">
        <f aca="false">IFERROR(INDEX($A$2:$A$901,MATCH(58,$B$2:$B$901,0)),"")</f>
        <v/>
      </c>
    </row>
    <row r="60" customFormat="false" ht="15" hidden="false" customHeight="true" outlineLevel="0" collapsed="false">
      <c r="A60" s="12" t="str">
        <f aca="false">IF(Concealed!A65="","",TRIM(Concealed!A65))</f>
        <v/>
      </c>
      <c r="B60" s="12" t="str">
        <f aca="false">IF(A60="","",IF(COUNTIF(A$2:A60,A60)=1,MAX(B$1:B59)+1,""))</f>
        <v/>
      </c>
      <c r="D60" s="12" t="str">
        <f aca="false">IFERROR(INDEX($A$2:$A$901,MATCH(59,$B$2:$B$901,0)),"")</f>
        <v/>
      </c>
    </row>
    <row r="61" customFormat="false" ht="15" hidden="false" customHeight="true" outlineLevel="0" collapsed="false">
      <c r="A61" s="12" t="str">
        <f aca="false">IF(Concealed!A66="","",TRIM(Concealed!A66))</f>
        <v/>
      </c>
      <c r="B61" s="12" t="str">
        <f aca="false">IF(A61="","",IF(COUNTIF(A$2:A61,A61)=1,MAX(B$1:B60)+1,""))</f>
        <v/>
      </c>
      <c r="D61" s="12" t="str">
        <f aca="false">IFERROR(INDEX($A$2:$A$901,MATCH(60,$B$2:$B$901,0)),"")</f>
        <v/>
      </c>
    </row>
    <row r="62" customFormat="false" ht="15" hidden="false" customHeight="true" outlineLevel="0" collapsed="false">
      <c r="A62" s="12" t="str">
        <f aca="false">IF(Concealed!A67="","",TRIM(Concealed!A67))</f>
        <v/>
      </c>
      <c r="B62" s="12" t="str">
        <f aca="false">IF(A62="","",IF(COUNTIF(A$2:A62,A62)=1,MAX(B$1:B61)+1,""))</f>
        <v/>
      </c>
      <c r="D62" s="12" t="str">
        <f aca="false">IFERROR(INDEX($A$2:$A$901,MATCH(61,$B$2:$B$901,0)),"")</f>
        <v/>
      </c>
    </row>
    <row r="63" customFormat="false" ht="15" hidden="false" customHeight="true" outlineLevel="0" collapsed="false">
      <c r="A63" s="12" t="str">
        <f aca="false">IF(Concealed!A68="","",TRIM(Concealed!A68))</f>
        <v/>
      </c>
      <c r="B63" s="12" t="str">
        <f aca="false">IF(A63="","",IF(COUNTIF(A$2:A63,A63)=1,MAX(B$1:B62)+1,""))</f>
        <v/>
      </c>
      <c r="D63" s="12" t="str">
        <f aca="false">IFERROR(INDEX($A$2:$A$901,MATCH(62,$B$2:$B$901,0)),"")</f>
        <v/>
      </c>
    </row>
    <row r="64" customFormat="false" ht="15" hidden="false" customHeight="true" outlineLevel="0" collapsed="false">
      <c r="A64" s="12" t="str">
        <f aca="false">IF(Concealed!A69="","",TRIM(Concealed!A69))</f>
        <v/>
      </c>
      <c r="B64" s="12" t="str">
        <f aca="false">IF(A64="","",IF(COUNTIF(A$2:A64,A64)=1,MAX(B$1:B63)+1,""))</f>
        <v/>
      </c>
      <c r="D64" s="12" t="str">
        <f aca="false">IFERROR(INDEX($A$2:$A$901,MATCH(63,$B$2:$B$901,0)),"")</f>
        <v/>
      </c>
    </row>
    <row r="65" customFormat="false" ht="15" hidden="false" customHeight="true" outlineLevel="0" collapsed="false">
      <c r="A65" s="12" t="str">
        <f aca="false">IF(Concealed!A70="","",TRIM(Concealed!A70))</f>
        <v/>
      </c>
      <c r="B65" s="12" t="str">
        <f aca="false">IF(A65="","",IF(COUNTIF(A$2:A65,A65)=1,MAX(B$1:B64)+1,""))</f>
        <v/>
      </c>
      <c r="D65" s="12" t="str">
        <f aca="false">IFERROR(INDEX($A$2:$A$901,MATCH(64,$B$2:$B$901,0)),"")</f>
        <v/>
      </c>
    </row>
    <row r="66" customFormat="false" ht="15" hidden="false" customHeight="true" outlineLevel="0" collapsed="false">
      <c r="A66" s="12" t="str">
        <f aca="false">IF(Concealed!A71="","",TRIM(Concealed!A71))</f>
        <v/>
      </c>
      <c r="B66" s="12" t="str">
        <f aca="false">IF(A66="","",IF(COUNTIF(A$2:A66,A66)=1,MAX(B$1:B65)+1,""))</f>
        <v/>
      </c>
      <c r="D66" s="12" t="str">
        <f aca="false">IFERROR(INDEX($A$2:$A$901,MATCH(65,$B$2:$B$901,0)),"")</f>
        <v/>
      </c>
    </row>
    <row r="67" customFormat="false" ht="15" hidden="false" customHeight="true" outlineLevel="0" collapsed="false">
      <c r="A67" s="12" t="str">
        <f aca="false">IF(Concealed!A72="","",TRIM(Concealed!A72))</f>
        <v/>
      </c>
      <c r="B67" s="12" t="str">
        <f aca="false">IF(A67="","",IF(COUNTIF(A$2:A67,A67)=1,MAX(B$1:B66)+1,""))</f>
        <v/>
      </c>
      <c r="D67" s="12" t="str">
        <f aca="false">IFERROR(INDEX($A$2:$A$901,MATCH(66,$B$2:$B$901,0)),"")</f>
        <v/>
      </c>
    </row>
    <row r="68" customFormat="false" ht="15" hidden="false" customHeight="true" outlineLevel="0" collapsed="false">
      <c r="A68" s="12" t="str">
        <f aca="false">IF(Concealed!A73="","",TRIM(Concealed!A73))</f>
        <v/>
      </c>
      <c r="B68" s="12" t="str">
        <f aca="false">IF(A68="","",IF(COUNTIF(A$2:A68,A68)=1,MAX(B$1:B67)+1,""))</f>
        <v/>
      </c>
      <c r="D68" s="12" t="str">
        <f aca="false">IFERROR(INDEX($A$2:$A$901,MATCH(67,$B$2:$B$901,0)),"")</f>
        <v/>
      </c>
    </row>
    <row r="69" customFormat="false" ht="15" hidden="false" customHeight="true" outlineLevel="0" collapsed="false">
      <c r="A69" s="12" t="str">
        <f aca="false">IF(Concealed!A74="","",TRIM(Concealed!A74))</f>
        <v/>
      </c>
      <c r="B69" s="12" t="str">
        <f aca="false">IF(A69="","",IF(COUNTIF(A$2:A69,A69)=1,MAX(B$1:B68)+1,""))</f>
        <v/>
      </c>
      <c r="D69" s="12" t="str">
        <f aca="false">IFERROR(INDEX($A$2:$A$901,MATCH(68,$B$2:$B$901,0)),"")</f>
        <v/>
      </c>
    </row>
    <row r="70" customFormat="false" ht="15" hidden="false" customHeight="true" outlineLevel="0" collapsed="false">
      <c r="A70" s="12" t="str">
        <f aca="false">IF(Concealed!A75="","",TRIM(Concealed!A75))</f>
        <v/>
      </c>
      <c r="B70" s="12" t="str">
        <f aca="false">IF(A70="","",IF(COUNTIF(A$2:A70,A70)=1,MAX(B$1:B69)+1,""))</f>
        <v/>
      </c>
      <c r="D70" s="12" t="str">
        <f aca="false">IFERROR(INDEX($A$2:$A$901,MATCH(69,$B$2:$B$901,0)),"")</f>
        <v/>
      </c>
    </row>
    <row r="71" customFormat="false" ht="15" hidden="false" customHeight="true" outlineLevel="0" collapsed="false">
      <c r="A71" s="12" t="str">
        <f aca="false">IF(Concealed!A76="","",TRIM(Concealed!A76))</f>
        <v/>
      </c>
      <c r="B71" s="12" t="str">
        <f aca="false">IF(A71="","",IF(COUNTIF(A$2:A71,A71)=1,MAX(B$1:B70)+1,""))</f>
        <v/>
      </c>
      <c r="D71" s="12" t="str">
        <f aca="false">IFERROR(INDEX($A$2:$A$901,MATCH(70,$B$2:$B$901,0)),"")</f>
        <v/>
      </c>
    </row>
    <row r="72" customFormat="false" ht="15" hidden="false" customHeight="true" outlineLevel="0" collapsed="false">
      <c r="A72" s="12" t="str">
        <f aca="false">IF(Concealed!A77="","",TRIM(Concealed!A77))</f>
        <v/>
      </c>
      <c r="B72" s="12" t="str">
        <f aca="false">IF(A72="","",IF(COUNTIF(A$2:A72,A72)=1,MAX(B$1:B71)+1,""))</f>
        <v/>
      </c>
      <c r="D72" s="12" t="str">
        <f aca="false">IFERROR(INDEX($A$2:$A$901,MATCH(71,$B$2:$B$901,0)),"")</f>
        <v/>
      </c>
    </row>
    <row r="73" customFormat="false" ht="15" hidden="false" customHeight="true" outlineLevel="0" collapsed="false">
      <c r="A73" s="12" t="str">
        <f aca="false">IF(Concealed!A78="","",TRIM(Concealed!A78))</f>
        <v/>
      </c>
      <c r="B73" s="12" t="str">
        <f aca="false">IF(A73="","",IF(COUNTIF(A$2:A73,A73)=1,MAX(B$1:B72)+1,""))</f>
        <v/>
      </c>
      <c r="D73" s="12" t="str">
        <f aca="false">IFERROR(INDEX($A$2:$A$901,MATCH(72,$B$2:$B$901,0)),"")</f>
        <v/>
      </c>
    </row>
    <row r="74" customFormat="false" ht="15" hidden="false" customHeight="true" outlineLevel="0" collapsed="false">
      <c r="A74" s="12" t="str">
        <f aca="false">IF(Concealed!A79="","",TRIM(Concealed!A79))</f>
        <v/>
      </c>
      <c r="B74" s="12" t="str">
        <f aca="false">IF(A74="","",IF(COUNTIF(A$2:A74,A74)=1,MAX(B$1:B73)+1,""))</f>
        <v/>
      </c>
      <c r="D74" s="12" t="str">
        <f aca="false">IFERROR(INDEX($A$2:$A$901,MATCH(73,$B$2:$B$901,0)),"")</f>
        <v/>
      </c>
    </row>
    <row r="75" customFormat="false" ht="15" hidden="false" customHeight="true" outlineLevel="0" collapsed="false">
      <c r="A75" s="12" t="str">
        <f aca="false">IF(Concealed!A80="","",TRIM(Concealed!A80))</f>
        <v/>
      </c>
      <c r="B75" s="12" t="str">
        <f aca="false">IF(A75="","",IF(COUNTIF(A$2:A75,A75)=1,MAX(B$1:B74)+1,""))</f>
        <v/>
      </c>
      <c r="D75" s="12" t="str">
        <f aca="false">IFERROR(INDEX($A$2:$A$901,MATCH(74,$B$2:$B$901,0)),"")</f>
        <v/>
      </c>
    </row>
    <row r="76" customFormat="false" ht="15" hidden="false" customHeight="true" outlineLevel="0" collapsed="false">
      <c r="A76" s="12" t="str">
        <f aca="false">IF(Concealed!A81="","",TRIM(Concealed!A81))</f>
        <v/>
      </c>
      <c r="B76" s="12" t="str">
        <f aca="false">IF(A76="","",IF(COUNTIF(A$2:A76,A76)=1,MAX(B$1:B75)+1,""))</f>
        <v/>
      </c>
      <c r="D76" s="12" t="str">
        <f aca="false">IFERROR(INDEX($A$2:$A$901,MATCH(75,$B$2:$B$901,0)),"")</f>
        <v/>
      </c>
    </row>
    <row r="77" customFormat="false" ht="15" hidden="false" customHeight="true" outlineLevel="0" collapsed="false">
      <c r="A77" s="12" t="str">
        <f aca="false">IF(Concealed!A82="","",TRIM(Concealed!A82))</f>
        <v/>
      </c>
      <c r="B77" s="12" t="str">
        <f aca="false">IF(A77="","",IF(COUNTIF(A$2:A77,A77)=1,MAX(B$1:B76)+1,""))</f>
        <v/>
      </c>
      <c r="D77" s="12" t="str">
        <f aca="false">IFERROR(INDEX($A$2:$A$901,MATCH(76,$B$2:$B$901,0)),"")</f>
        <v/>
      </c>
    </row>
    <row r="78" customFormat="false" ht="15" hidden="false" customHeight="true" outlineLevel="0" collapsed="false">
      <c r="A78" s="12" t="str">
        <f aca="false">IF(Concealed!A83="","",TRIM(Concealed!A83))</f>
        <v/>
      </c>
      <c r="B78" s="12" t="str">
        <f aca="false">IF(A78="","",IF(COUNTIF(A$2:A78,A78)=1,MAX(B$1:B77)+1,""))</f>
        <v/>
      </c>
      <c r="D78" s="12" t="str">
        <f aca="false">IFERROR(INDEX($A$2:$A$901,MATCH(77,$B$2:$B$901,0)),"")</f>
        <v/>
      </c>
    </row>
    <row r="79" customFormat="false" ht="15" hidden="false" customHeight="true" outlineLevel="0" collapsed="false">
      <c r="A79" s="12" t="str">
        <f aca="false">IF(Concealed!A84="","",TRIM(Concealed!A84))</f>
        <v/>
      </c>
      <c r="B79" s="12" t="str">
        <f aca="false">IF(A79="","",IF(COUNTIF(A$2:A79,A79)=1,MAX(B$1:B78)+1,""))</f>
        <v/>
      </c>
      <c r="D79" s="12" t="str">
        <f aca="false">IFERROR(INDEX($A$2:$A$901,MATCH(78,$B$2:$B$901,0)),"")</f>
        <v/>
      </c>
    </row>
    <row r="80" customFormat="false" ht="15" hidden="false" customHeight="true" outlineLevel="0" collapsed="false">
      <c r="A80" s="12" t="str">
        <f aca="false">IF(Concealed!A85="","",TRIM(Concealed!A85))</f>
        <v/>
      </c>
      <c r="B80" s="12" t="str">
        <f aca="false">IF(A80="","",IF(COUNTIF(A$2:A80,A80)=1,MAX(B$1:B79)+1,""))</f>
        <v/>
      </c>
      <c r="D80" s="12" t="str">
        <f aca="false">IFERROR(INDEX($A$2:$A$901,MATCH(79,$B$2:$B$901,0)),"")</f>
        <v/>
      </c>
    </row>
    <row r="81" customFormat="false" ht="15" hidden="false" customHeight="true" outlineLevel="0" collapsed="false">
      <c r="A81" s="12" t="str">
        <f aca="false">IF(Concealed!A86="","",TRIM(Concealed!A86))</f>
        <v/>
      </c>
      <c r="B81" s="12" t="str">
        <f aca="false">IF(A81="","",IF(COUNTIF(A$2:A81,A81)=1,MAX(B$1:B80)+1,""))</f>
        <v/>
      </c>
      <c r="D81" s="12" t="str">
        <f aca="false">IFERROR(INDEX($A$2:$A$901,MATCH(80,$B$2:$B$901,0)),"")</f>
        <v/>
      </c>
    </row>
    <row r="82" customFormat="false" ht="15" hidden="false" customHeight="true" outlineLevel="0" collapsed="false">
      <c r="A82" s="12" t="str">
        <f aca="false">IF(Concealed!A87="","",TRIM(Concealed!A87))</f>
        <v/>
      </c>
      <c r="B82" s="12" t="str">
        <f aca="false">IF(A82="","",IF(COUNTIF(A$2:A82,A82)=1,MAX(B$1:B81)+1,""))</f>
        <v/>
      </c>
      <c r="D82" s="12" t="str">
        <f aca="false">IFERROR(INDEX($A$2:$A$901,MATCH(81,$B$2:$B$901,0)),"")</f>
        <v/>
      </c>
    </row>
    <row r="83" customFormat="false" ht="15" hidden="false" customHeight="true" outlineLevel="0" collapsed="false">
      <c r="A83" s="12" t="str">
        <f aca="false">IF(Concealed!A88="","",TRIM(Concealed!A88))</f>
        <v/>
      </c>
      <c r="B83" s="12" t="str">
        <f aca="false">IF(A83="","",IF(COUNTIF(A$2:A83,A83)=1,MAX(B$1:B82)+1,""))</f>
        <v/>
      </c>
      <c r="D83" s="12" t="str">
        <f aca="false">IFERROR(INDEX($A$2:$A$901,MATCH(82,$B$2:$B$901,0)),"")</f>
        <v/>
      </c>
    </row>
    <row r="84" customFormat="false" ht="15" hidden="false" customHeight="true" outlineLevel="0" collapsed="false">
      <c r="A84" s="12" t="str">
        <f aca="false">IF(Concealed!A89="","",TRIM(Concealed!A89))</f>
        <v/>
      </c>
      <c r="B84" s="12" t="str">
        <f aca="false">IF(A84="","",IF(COUNTIF(A$2:A84,A84)=1,MAX(B$1:B83)+1,""))</f>
        <v/>
      </c>
      <c r="D84" s="12" t="str">
        <f aca="false">IFERROR(INDEX($A$2:$A$901,MATCH(83,$B$2:$B$901,0)),"")</f>
        <v/>
      </c>
    </row>
    <row r="85" customFormat="false" ht="15" hidden="false" customHeight="true" outlineLevel="0" collapsed="false">
      <c r="A85" s="12" t="str">
        <f aca="false">IF(Concealed!A90="","",TRIM(Concealed!A90))</f>
        <v/>
      </c>
      <c r="B85" s="12" t="str">
        <f aca="false">IF(A85="","",IF(COUNTIF(A$2:A85,A85)=1,MAX(B$1:B84)+1,""))</f>
        <v/>
      </c>
      <c r="D85" s="12" t="str">
        <f aca="false">IFERROR(INDEX($A$2:$A$901,MATCH(84,$B$2:$B$901,0)),"")</f>
        <v/>
      </c>
    </row>
    <row r="86" customFormat="false" ht="15" hidden="false" customHeight="true" outlineLevel="0" collapsed="false">
      <c r="A86" s="12" t="str">
        <f aca="false">IF(Concealed!A91="","",TRIM(Concealed!A91))</f>
        <v/>
      </c>
      <c r="B86" s="12" t="str">
        <f aca="false">IF(A86="","",IF(COUNTIF(A$2:A86,A86)=1,MAX(B$1:B85)+1,""))</f>
        <v/>
      </c>
      <c r="D86" s="12" t="str">
        <f aca="false">IFERROR(INDEX($A$2:$A$901,MATCH(85,$B$2:$B$901,0)),"")</f>
        <v/>
      </c>
    </row>
    <row r="87" customFormat="false" ht="15" hidden="false" customHeight="true" outlineLevel="0" collapsed="false">
      <c r="A87" s="12" t="str">
        <f aca="false">IF(Concealed!A92="","",TRIM(Concealed!A92))</f>
        <v/>
      </c>
      <c r="B87" s="12" t="str">
        <f aca="false">IF(A87="","",IF(COUNTIF(A$2:A87,A87)=1,MAX(B$1:B86)+1,""))</f>
        <v/>
      </c>
      <c r="D87" s="12" t="str">
        <f aca="false">IFERROR(INDEX($A$2:$A$901,MATCH(86,$B$2:$B$901,0)),"")</f>
        <v/>
      </c>
    </row>
    <row r="88" customFormat="false" ht="15" hidden="false" customHeight="true" outlineLevel="0" collapsed="false">
      <c r="A88" s="12" t="str">
        <f aca="false">IF(Concealed!A93="","",TRIM(Concealed!A93))</f>
        <v/>
      </c>
      <c r="B88" s="12" t="str">
        <f aca="false">IF(A88="","",IF(COUNTIF(A$2:A88,A88)=1,MAX(B$1:B87)+1,""))</f>
        <v/>
      </c>
      <c r="D88" s="12" t="str">
        <f aca="false">IFERROR(INDEX($A$2:$A$901,MATCH(87,$B$2:$B$901,0)),"")</f>
        <v/>
      </c>
    </row>
    <row r="89" customFormat="false" ht="15" hidden="false" customHeight="true" outlineLevel="0" collapsed="false">
      <c r="A89" s="12" t="str">
        <f aca="false">IF(Concealed!A94="","",TRIM(Concealed!A94))</f>
        <v/>
      </c>
      <c r="B89" s="12" t="str">
        <f aca="false">IF(A89="","",IF(COUNTIF(A$2:A89,A89)=1,MAX(B$1:B88)+1,""))</f>
        <v/>
      </c>
      <c r="D89" s="12" t="str">
        <f aca="false">IFERROR(INDEX($A$2:$A$901,MATCH(88,$B$2:$B$901,0)),"")</f>
        <v/>
      </c>
    </row>
    <row r="90" customFormat="false" ht="15" hidden="false" customHeight="true" outlineLevel="0" collapsed="false">
      <c r="A90" s="12" t="str">
        <f aca="false">IF(Concealed!A95="","",TRIM(Concealed!A95))</f>
        <v/>
      </c>
      <c r="B90" s="12" t="str">
        <f aca="false">IF(A90="","",IF(COUNTIF(A$2:A90,A90)=1,MAX(B$1:B89)+1,""))</f>
        <v/>
      </c>
      <c r="D90" s="12" t="str">
        <f aca="false">IFERROR(INDEX($A$2:$A$901,MATCH(89,$B$2:$B$901,0)),"")</f>
        <v/>
      </c>
    </row>
    <row r="91" customFormat="false" ht="15" hidden="false" customHeight="true" outlineLevel="0" collapsed="false">
      <c r="A91" s="12" t="str">
        <f aca="false">IF(Concealed!A96="","",TRIM(Concealed!A96))</f>
        <v/>
      </c>
      <c r="B91" s="12" t="str">
        <f aca="false">IF(A91="","",IF(COUNTIF(A$2:A91,A91)=1,MAX(B$1:B90)+1,""))</f>
        <v/>
      </c>
      <c r="D91" s="12" t="str">
        <f aca="false">IFERROR(INDEX($A$2:$A$901,MATCH(90,$B$2:$B$901,0)),"")</f>
        <v/>
      </c>
    </row>
    <row r="92" customFormat="false" ht="15" hidden="false" customHeight="true" outlineLevel="0" collapsed="false">
      <c r="A92" s="12" t="str">
        <f aca="false">IF(Concealed!A97="","",TRIM(Concealed!A97))</f>
        <v/>
      </c>
      <c r="B92" s="12" t="str">
        <f aca="false">IF(A92="","",IF(COUNTIF(A$2:A92,A92)=1,MAX(B$1:B91)+1,""))</f>
        <v/>
      </c>
      <c r="D92" s="12" t="str">
        <f aca="false">IFERROR(INDEX($A$2:$A$901,MATCH(91,$B$2:$B$901,0)),"")</f>
        <v/>
      </c>
    </row>
    <row r="93" customFormat="false" ht="15" hidden="false" customHeight="true" outlineLevel="0" collapsed="false">
      <c r="A93" s="12" t="str">
        <f aca="false">IF(Concealed!A98="","",TRIM(Concealed!A98))</f>
        <v/>
      </c>
      <c r="B93" s="12" t="str">
        <f aca="false">IF(A93="","",IF(COUNTIF(A$2:A93,A93)=1,MAX(B$1:B92)+1,""))</f>
        <v/>
      </c>
      <c r="D93" s="12" t="str">
        <f aca="false">IFERROR(INDEX($A$2:$A$901,MATCH(92,$B$2:$B$901,0)),"")</f>
        <v/>
      </c>
    </row>
    <row r="94" customFormat="false" ht="15" hidden="false" customHeight="true" outlineLevel="0" collapsed="false">
      <c r="A94" s="12" t="str">
        <f aca="false">IF(Concealed!A99="","",TRIM(Concealed!A99))</f>
        <v/>
      </c>
      <c r="B94" s="12" t="str">
        <f aca="false">IF(A94="","",IF(COUNTIF(A$2:A94,A94)=1,MAX(B$1:B93)+1,""))</f>
        <v/>
      </c>
      <c r="D94" s="12" t="str">
        <f aca="false">IFERROR(INDEX($A$2:$A$901,MATCH(93,$B$2:$B$901,0)),"")</f>
        <v/>
      </c>
    </row>
    <row r="95" customFormat="false" ht="15" hidden="false" customHeight="true" outlineLevel="0" collapsed="false">
      <c r="A95" s="12" t="str">
        <f aca="false">IF(Concealed!A100="","",TRIM(Concealed!A100))</f>
        <v/>
      </c>
      <c r="B95" s="12" t="str">
        <f aca="false">IF(A95="","",IF(COUNTIF(A$2:A95,A95)=1,MAX(B$1:B94)+1,""))</f>
        <v/>
      </c>
      <c r="D95" s="12" t="str">
        <f aca="false">IFERROR(INDEX($A$2:$A$901,MATCH(94,$B$2:$B$901,0)),"")</f>
        <v/>
      </c>
    </row>
    <row r="96" customFormat="false" ht="15" hidden="false" customHeight="true" outlineLevel="0" collapsed="false">
      <c r="A96" s="12" t="str">
        <f aca="false">IF(Concealed!A101="","",TRIM(Concealed!A101))</f>
        <v/>
      </c>
      <c r="B96" s="12" t="str">
        <f aca="false">IF(A96="","",IF(COUNTIF(A$2:A96,A96)=1,MAX(B$1:B95)+1,""))</f>
        <v/>
      </c>
      <c r="D96" s="12" t="str">
        <f aca="false">IFERROR(INDEX($A$2:$A$901,MATCH(95,$B$2:$B$901,0)),"")</f>
        <v/>
      </c>
    </row>
    <row r="97" customFormat="false" ht="15" hidden="false" customHeight="true" outlineLevel="0" collapsed="false">
      <c r="A97" s="12" t="str">
        <f aca="false">IF(Concealed!A102="","",TRIM(Concealed!A102))</f>
        <v/>
      </c>
      <c r="B97" s="12" t="str">
        <f aca="false">IF(A97="","",IF(COUNTIF(A$2:A97,A97)=1,MAX(B$1:B96)+1,""))</f>
        <v/>
      </c>
      <c r="D97" s="12" t="str">
        <f aca="false">IFERROR(INDEX($A$2:$A$901,MATCH(96,$B$2:$B$901,0)),"")</f>
        <v/>
      </c>
    </row>
    <row r="98" customFormat="false" ht="15" hidden="false" customHeight="true" outlineLevel="0" collapsed="false">
      <c r="A98" s="12" t="str">
        <f aca="false">IF(Concealed!A103="","",TRIM(Concealed!A103))</f>
        <v/>
      </c>
      <c r="B98" s="12" t="str">
        <f aca="false">IF(A98="","",IF(COUNTIF(A$2:A98,A98)=1,MAX(B$1:B97)+1,""))</f>
        <v/>
      </c>
      <c r="D98" s="12" t="str">
        <f aca="false">IFERROR(INDEX($A$2:$A$901,MATCH(97,$B$2:$B$901,0)),"")</f>
        <v/>
      </c>
    </row>
    <row r="99" customFormat="false" ht="15" hidden="false" customHeight="true" outlineLevel="0" collapsed="false">
      <c r="A99" s="12" t="str">
        <f aca="false">IF(Concealed!A104="","",TRIM(Concealed!A104))</f>
        <v/>
      </c>
      <c r="B99" s="12" t="str">
        <f aca="false">IF(A99="","",IF(COUNTIF(A$2:A99,A99)=1,MAX(B$1:B98)+1,""))</f>
        <v/>
      </c>
      <c r="D99" s="12" t="str">
        <f aca="false">IFERROR(INDEX($A$2:$A$901,MATCH(98,$B$2:$B$901,0)),"")</f>
        <v/>
      </c>
    </row>
    <row r="100" customFormat="false" ht="15" hidden="false" customHeight="true" outlineLevel="0" collapsed="false">
      <c r="A100" s="12" t="str">
        <f aca="false">IF(Concealed!A105="","",TRIM(Concealed!A105))</f>
        <v/>
      </c>
      <c r="B100" s="12" t="str">
        <f aca="false">IF(A100="","",IF(COUNTIF(A$2:A100,A100)=1,MAX(B$1:B99)+1,""))</f>
        <v/>
      </c>
      <c r="D100" s="12" t="str">
        <f aca="false">IFERROR(INDEX($A$2:$A$901,MATCH(99,$B$2:$B$901,0)),"")</f>
        <v/>
      </c>
    </row>
    <row r="101" customFormat="false" ht="15" hidden="false" customHeight="true" outlineLevel="0" collapsed="false">
      <c r="A101" s="12" t="str">
        <f aca="false">IF(Concealed!A106="","",TRIM(Concealed!A106))</f>
        <v/>
      </c>
      <c r="B101" s="12" t="str">
        <f aca="false">IF(A101="","",IF(COUNTIF(A$2:A101,A101)=1,MAX(B$1:B100)+1,""))</f>
        <v/>
      </c>
      <c r="D101" s="12" t="str">
        <f aca="false">IFERROR(INDEX($A$2:$A$901,MATCH(100,$B$2:$B$901,0)),"")</f>
        <v/>
      </c>
    </row>
    <row r="102" customFormat="false" ht="15" hidden="false" customHeight="true" outlineLevel="0" collapsed="false">
      <c r="A102" s="12" t="str">
        <f aca="false">IF(Concealed!A107="","",TRIM(Concealed!A107))</f>
        <v/>
      </c>
      <c r="B102" s="12" t="str">
        <f aca="false">IF(A102="","",IF(COUNTIF(A$2:A102,A102)=1,MAX(B$1:B101)+1,""))</f>
        <v/>
      </c>
      <c r="D102" s="12"/>
    </row>
    <row r="103" customFormat="false" ht="15" hidden="false" customHeight="true" outlineLevel="0" collapsed="false">
      <c r="A103" s="12" t="str">
        <f aca="false">IF(Concealed!A108="","",TRIM(Concealed!A108))</f>
        <v/>
      </c>
      <c r="B103" s="12" t="str">
        <f aca="false">IF(A103="","",IF(COUNTIF(A$2:A103,A103)=1,MAX(B$1:B102)+1,""))</f>
        <v/>
      </c>
      <c r="D103" s="12"/>
    </row>
    <row r="104" customFormat="false" ht="15" hidden="false" customHeight="true" outlineLevel="0" collapsed="false">
      <c r="A104" s="12" t="str">
        <f aca="false">IF(Concealed!A109="","",TRIM(Concealed!A109))</f>
        <v/>
      </c>
      <c r="B104" s="12" t="str">
        <f aca="false">IF(A104="","",IF(COUNTIF(A$2:A104,A104)=1,MAX(B$1:B103)+1,""))</f>
        <v/>
      </c>
      <c r="D104" s="12"/>
    </row>
    <row r="105" customFormat="false" ht="15" hidden="false" customHeight="true" outlineLevel="0" collapsed="false">
      <c r="A105" s="12" t="str">
        <f aca="false">IF(Concealed!A110="","",TRIM(Concealed!A110))</f>
        <v/>
      </c>
      <c r="B105" s="12" t="str">
        <f aca="false">IF(A105="","",IF(COUNTIF(A$2:A105,A105)=1,MAX(B$1:B104)+1,""))</f>
        <v/>
      </c>
      <c r="D105" s="12"/>
    </row>
    <row r="106" customFormat="false" ht="15" hidden="false" customHeight="true" outlineLevel="0" collapsed="false">
      <c r="A106" s="12" t="str">
        <f aca="false">IF(Concealed!A111="","",TRIM(Concealed!A111))</f>
        <v/>
      </c>
      <c r="B106" s="12" t="str">
        <f aca="false">IF(A106="","",IF(COUNTIF(A$2:A106,A106)=1,MAX(B$1:B105)+1,""))</f>
        <v/>
      </c>
      <c r="D106" s="12"/>
    </row>
    <row r="107" customFormat="false" ht="15" hidden="false" customHeight="true" outlineLevel="0" collapsed="false">
      <c r="A107" s="12" t="str">
        <f aca="false">IF(Concealed!A112="","",TRIM(Concealed!A112))</f>
        <v/>
      </c>
      <c r="B107" s="12" t="str">
        <f aca="false">IF(A107="","",IF(COUNTIF(A$2:A107,A107)=1,MAX(B$1:B106)+1,""))</f>
        <v/>
      </c>
      <c r="D107" s="12"/>
    </row>
    <row r="108" customFormat="false" ht="15" hidden="false" customHeight="true" outlineLevel="0" collapsed="false">
      <c r="A108" s="12" t="str">
        <f aca="false">IF(Concealed!A113="","",TRIM(Concealed!A113))</f>
        <v/>
      </c>
      <c r="B108" s="12" t="str">
        <f aca="false">IF(A108="","",IF(COUNTIF(A$2:A108,A108)=1,MAX(B$1:B107)+1,""))</f>
        <v/>
      </c>
      <c r="D108" s="12"/>
    </row>
    <row r="109" customFormat="false" ht="15" hidden="false" customHeight="true" outlineLevel="0" collapsed="false">
      <c r="A109" s="12" t="str">
        <f aca="false">IF(Concealed!A114="","",TRIM(Concealed!A114))</f>
        <v/>
      </c>
      <c r="B109" s="12" t="str">
        <f aca="false">IF(A109="","",IF(COUNTIF(A$2:A109,A109)=1,MAX(B$1:B108)+1,""))</f>
        <v/>
      </c>
      <c r="D109" s="12"/>
    </row>
    <row r="110" customFormat="false" ht="15" hidden="false" customHeight="true" outlineLevel="0" collapsed="false">
      <c r="A110" s="12" t="str">
        <f aca="false">IF(Concealed!A115="","",TRIM(Concealed!A115))</f>
        <v/>
      </c>
      <c r="B110" s="12" t="str">
        <f aca="false">IF(A110="","",IF(COUNTIF(A$2:A110,A110)=1,MAX(B$1:B109)+1,""))</f>
        <v/>
      </c>
      <c r="D110" s="12"/>
    </row>
    <row r="111" customFormat="false" ht="15" hidden="false" customHeight="true" outlineLevel="0" collapsed="false">
      <c r="A111" s="12" t="str">
        <f aca="false">IF(Concealed!A116="","",TRIM(Concealed!A116))</f>
        <v/>
      </c>
      <c r="B111" s="12" t="str">
        <f aca="false">IF(A111="","",IF(COUNTIF(A$2:A111,A111)=1,MAX(B$1:B110)+1,""))</f>
        <v/>
      </c>
      <c r="D111" s="12"/>
    </row>
    <row r="112" customFormat="false" ht="15" hidden="false" customHeight="true" outlineLevel="0" collapsed="false">
      <c r="A112" s="12" t="str">
        <f aca="false">IF(Concealed!A117="","",TRIM(Concealed!A117))</f>
        <v/>
      </c>
      <c r="B112" s="12" t="str">
        <f aca="false">IF(A112="","",IF(COUNTIF(A$2:A112,A112)=1,MAX(B$1:B111)+1,""))</f>
        <v/>
      </c>
      <c r="D112" s="12"/>
    </row>
    <row r="113" customFormat="false" ht="15" hidden="false" customHeight="true" outlineLevel="0" collapsed="false">
      <c r="A113" s="12" t="str">
        <f aca="false">IF(Concealed!A118="","",TRIM(Concealed!A118))</f>
        <v/>
      </c>
      <c r="B113" s="12" t="str">
        <f aca="false">IF(A113="","",IF(COUNTIF(A$2:A113,A113)=1,MAX(B$1:B112)+1,""))</f>
        <v/>
      </c>
      <c r="D113" s="12"/>
    </row>
    <row r="114" customFormat="false" ht="15" hidden="false" customHeight="true" outlineLevel="0" collapsed="false">
      <c r="A114" s="12" t="str">
        <f aca="false">IF(Concealed!A119="","",TRIM(Concealed!A119))</f>
        <v/>
      </c>
      <c r="B114" s="12" t="str">
        <f aca="false">IF(A114="","",IF(COUNTIF(A$2:A114,A114)=1,MAX(B$1:B113)+1,""))</f>
        <v/>
      </c>
      <c r="D114" s="12"/>
    </row>
    <row r="115" customFormat="false" ht="15" hidden="false" customHeight="true" outlineLevel="0" collapsed="false">
      <c r="A115" s="12" t="str">
        <f aca="false">IF(Concealed!A120="","",TRIM(Concealed!A120))</f>
        <v/>
      </c>
      <c r="B115" s="12" t="str">
        <f aca="false">IF(A115="","",IF(COUNTIF(A$2:A115,A115)=1,MAX(B$1:B114)+1,""))</f>
        <v/>
      </c>
      <c r="D115" s="12"/>
    </row>
    <row r="116" customFormat="false" ht="15" hidden="false" customHeight="true" outlineLevel="0" collapsed="false">
      <c r="A116" s="12" t="str">
        <f aca="false">IF(Concealed!A121="","",TRIM(Concealed!A121))</f>
        <v/>
      </c>
      <c r="B116" s="12" t="str">
        <f aca="false">IF(A116="","",IF(COUNTIF(A$2:A116,A116)=1,MAX(B$1:B115)+1,""))</f>
        <v/>
      </c>
      <c r="D116" s="12"/>
    </row>
    <row r="117" customFormat="false" ht="15" hidden="false" customHeight="true" outlineLevel="0" collapsed="false">
      <c r="A117" s="12" t="str">
        <f aca="false">IF(Concealed!A122="","",TRIM(Concealed!A122))</f>
        <v/>
      </c>
      <c r="B117" s="12" t="str">
        <f aca="false">IF(A117="","",IF(COUNTIF(A$2:A117,A117)=1,MAX(B$1:B116)+1,""))</f>
        <v/>
      </c>
      <c r="D117" s="12"/>
    </row>
    <row r="118" customFormat="false" ht="15" hidden="false" customHeight="true" outlineLevel="0" collapsed="false">
      <c r="A118" s="12" t="str">
        <f aca="false">IF(Concealed!A123="","",TRIM(Concealed!A123))</f>
        <v/>
      </c>
      <c r="B118" s="12" t="str">
        <f aca="false">IF(A118="","",IF(COUNTIF(A$2:A118,A118)=1,MAX(B$1:B117)+1,""))</f>
        <v/>
      </c>
      <c r="D118" s="12"/>
    </row>
    <row r="119" customFormat="false" ht="15" hidden="false" customHeight="true" outlineLevel="0" collapsed="false">
      <c r="A119" s="12" t="str">
        <f aca="false">IF(Concealed!A124="","",TRIM(Concealed!A124))</f>
        <v/>
      </c>
      <c r="B119" s="12" t="str">
        <f aca="false">IF(A119="","",IF(COUNTIF(A$2:A119,A119)=1,MAX(B$1:B118)+1,""))</f>
        <v/>
      </c>
      <c r="D119" s="12"/>
    </row>
    <row r="120" customFormat="false" ht="15" hidden="false" customHeight="true" outlineLevel="0" collapsed="false">
      <c r="A120" s="12" t="str">
        <f aca="false">IF(Concealed!A125="","",TRIM(Concealed!A125))</f>
        <v/>
      </c>
      <c r="B120" s="12" t="str">
        <f aca="false">IF(A120="","",IF(COUNTIF(A$2:A120,A120)=1,MAX(B$1:B119)+1,""))</f>
        <v/>
      </c>
      <c r="D120" s="12"/>
    </row>
    <row r="121" customFormat="false" ht="15" hidden="false" customHeight="true" outlineLevel="0" collapsed="false">
      <c r="A121" s="12" t="str">
        <f aca="false">IF(Concealed!A126="","",TRIM(Concealed!A126))</f>
        <v/>
      </c>
      <c r="B121" s="12" t="str">
        <f aca="false">IF(A121="","",IF(COUNTIF(A$2:A121,A121)=1,MAX(B$1:B120)+1,""))</f>
        <v/>
      </c>
      <c r="D121" s="12"/>
    </row>
    <row r="122" customFormat="false" ht="15" hidden="false" customHeight="true" outlineLevel="0" collapsed="false">
      <c r="A122" s="12" t="str">
        <f aca="false">IF(Concealed!A127="","",TRIM(Concealed!A127))</f>
        <v/>
      </c>
      <c r="B122" s="12" t="str">
        <f aca="false">IF(A122="","",IF(COUNTIF(A$2:A122,A122)=1,MAX(B$1:B121)+1,""))</f>
        <v/>
      </c>
      <c r="D122" s="12"/>
    </row>
    <row r="123" customFormat="false" ht="15" hidden="false" customHeight="true" outlineLevel="0" collapsed="false">
      <c r="A123" s="12" t="str">
        <f aca="false">IF(Concealed!A128="","",TRIM(Concealed!A128))</f>
        <v/>
      </c>
      <c r="B123" s="12" t="str">
        <f aca="false">IF(A123="","",IF(COUNTIF(A$2:A123,A123)=1,MAX(B$1:B122)+1,""))</f>
        <v/>
      </c>
      <c r="D123" s="12"/>
    </row>
    <row r="124" customFormat="false" ht="15" hidden="false" customHeight="true" outlineLevel="0" collapsed="false">
      <c r="A124" s="12" t="str">
        <f aca="false">IF(Concealed!A129="","",TRIM(Concealed!A129))</f>
        <v/>
      </c>
      <c r="B124" s="12" t="str">
        <f aca="false">IF(A124="","",IF(COUNTIF(A$2:A124,A124)=1,MAX(B$1:B123)+1,""))</f>
        <v/>
      </c>
      <c r="D124" s="12"/>
    </row>
    <row r="125" customFormat="false" ht="15" hidden="false" customHeight="true" outlineLevel="0" collapsed="false">
      <c r="A125" s="12" t="str">
        <f aca="false">IF(Concealed!A130="","",TRIM(Concealed!A130))</f>
        <v/>
      </c>
      <c r="B125" s="12" t="str">
        <f aca="false">IF(A125="","",IF(COUNTIF(A$2:A125,A125)=1,MAX(B$1:B124)+1,""))</f>
        <v/>
      </c>
      <c r="D125" s="12"/>
    </row>
    <row r="126" customFormat="false" ht="15" hidden="false" customHeight="true" outlineLevel="0" collapsed="false">
      <c r="A126" s="12" t="str">
        <f aca="false">IF(Concealed!A131="","",TRIM(Concealed!A131))</f>
        <v/>
      </c>
      <c r="B126" s="12" t="str">
        <f aca="false">IF(A126="","",IF(COUNTIF(A$2:A126,A126)=1,MAX(B$1:B125)+1,""))</f>
        <v/>
      </c>
      <c r="D126" s="12"/>
    </row>
    <row r="127" customFormat="false" ht="15" hidden="false" customHeight="true" outlineLevel="0" collapsed="false">
      <c r="A127" s="12" t="str">
        <f aca="false">IF(Concealed!A132="","",TRIM(Concealed!A132))</f>
        <v/>
      </c>
      <c r="B127" s="12" t="str">
        <f aca="false">IF(A127="","",IF(COUNTIF(A$2:A127,A127)=1,MAX(B$1:B126)+1,""))</f>
        <v/>
      </c>
      <c r="D127" s="12"/>
    </row>
    <row r="128" customFormat="false" ht="15" hidden="false" customHeight="true" outlineLevel="0" collapsed="false">
      <c r="A128" s="12" t="str">
        <f aca="false">IF(Concealed!A133="","",TRIM(Concealed!A133))</f>
        <v/>
      </c>
      <c r="B128" s="12" t="str">
        <f aca="false">IF(A128="","",IF(COUNTIF(A$2:A128,A128)=1,MAX(B$1:B127)+1,""))</f>
        <v/>
      </c>
      <c r="D128" s="12"/>
    </row>
    <row r="129" customFormat="false" ht="15" hidden="false" customHeight="true" outlineLevel="0" collapsed="false">
      <c r="A129" s="12" t="str">
        <f aca="false">IF(Concealed!A134="","",TRIM(Concealed!A134))</f>
        <v/>
      </c>
      <c r="B129" s="12" t="str">
        <f aca="false">IF(A129="","",IF(COUNTIF(A$2:A129,A129)=1,MAX(B$1:B128)+1,""))</f>
        <v/>
      </c>
      <c r="D129" s="12"/>
    </row>
    <row r="130" customFormat="false" ht="15" hidden="false" customHeight="true" outlineLevel="0" collapsed="false">
      <c r="A130" s="12" t="str">
        <f aca="false">IF(Concealed!A135="","",TRIM(Concealed!A135))</f>
        <v/>
      </c>
      <c r="B130" s="12" t="str">
        <f aca="false">IF(A130="","",IF(COUNTIF(A$2:A130,A130)=1,MAX(B$1:B129)+1,""))</f>
        <v/>
      </c>
      <c r="D130" s="12"/>
    </row>
    <row r="131" customFormat="false" ht="15" hidden="false" customHeight="true" outlineLevel="0" collapsed="false">
      <c r="A131" s="12" t="str">
        <f aca="false">IF(Concealed!A136="","",TRIM(Concealed!A136))</f>
        <v/>
      </c>
      <c r="B131" s="12" t="str">
        <f aca="false">IF(A131="","",IF(COUNTIF(A$2:A131,A131)=1,MAX(B$1:B130)+1,""))</f>
        <v/>
      </c>
      <c r="D131" s="12"/>
    </row>
    <row r="132" customFormat="false" ht="15" hidden="false" customHeight="true" outlineLevel="0" collapsed="false">
      <c r="A132" s="12" t="str">
        <f aca="false">IF(Concealed!A137="","",TRIM(Concealed!A137))</f>
        <v/>
      </c>
      <c r="B132" s="12" t="str">
        <f aca="false">IF(A132="","",IF(COUNTIF(A$2:A132,A132)=1,MAX(B$1:B131)+1,""))</f>
        <v/>
      </c>
      <c r="D132" s="12"/>
    </row>
    <row r="133" customFormat="false" ht="15" hidden="false" customHeight="true" outlineLevel="0" collapsed="false">
      <c r="A133" s="12" t="str">
        <f aca="false">IF(Concealed!A138="","",TRIM(Concealed!A138))</f>
        <v/>
      </c>
      <c r="B133" s="12" t="str">
        <f aca="false">IF(A133="","",IF(COUNTIF(A$2:A133,A133)=1,MAX(B$1:B132)+1,""))</f>
        <v/>
      </c>
      <c r="D133" s="12"/>
    </row>
    <row r="134" customFormat="false" ht="15" hidden="false" customHeight="true" outlineLevel="0" collapsed="false">
      <c r="A134" s="12" t="str">
        <f aca="false">IF(Concealed!A139="","",TRIM(Concealed!A139))</f>
        <v/>
      </c>
      <c r="B134" s="12" t="str">
        <f aca="false">IF(A134="","",IF(COUNTIF(A$2:A134,A134)=1,MAX(B$1:B133)+1,""))</f>
        <v/>
      </c>
      <c r="D134" s="12"/>
    </row>
    <row r="135" customFormat="false" ht="15" hidden="false" customHeight="true" outlineLevel="0" collapsed="false">
      <c r="A135" s="12" t="str">
        <f aca="false">IF(Concealed!A140="","",TRIM(Concealed!A140))</f>
        <v/>
      </c>
      <c r="B135" s="12" t="str">
        <f aca="false">IF(A135="","",IF(COUNTIF(A$2:A135,A135)=1,MAX(B$1:B134)+1,""))</f>
        <v/>
      </c>
      <c r="D135" s="12"/>
    </row>
    <row r="136" customFormat="false" ht="15" hidden="false" customHeight="true" outlineLevel="0" collapsed="false">
      <c r="A136" s="12" t="str">
        <f aca="false">IF(Concealed!A141="","",TRIM(Concealed!A141))</f>
        <v/>
      </c>
      <c r="B136" s="12" t="str">
        <f aca="false">IF(A136="","",IF(COUNTIF(A$2:A136,A136)=1,MAX(B$1:B135)+1,""))</f>
        <v/>
      </c>
      <c r="D136" s="12"/>
    </row>
    <row r="137" customFormat="false" ht="15" hidden="false" customHeight="true" outlineLevel="0" collapsed="false">
      <c r="A137" s="12" t="str">
        <f aca="false">IF(Concealed!A142="","",TRIM(Concealed!A142))</f>
        <v/>
      </c>
      <c r="B137" s="12" t="str">
        <f aca="false">IF(A137="","",IF(COUNTIF(A$2:A137,A137)=1,MAX(B$1:B136)+1,""))</f>
        <v/>
      </c>
      <c r="D137" s="12"/>
    </row>
    <row r="138" customFormat="false" ht="15" hidden="false" customHeight="true" outlineLevel="0" collapsed="false">
      <c r="A138" s="12" t="str">
        <f aca="false">IF(Concealed!A143="","",TRIM(Concealed!A143))</f>
        <v/>
      </c>
      <c r="B138" s="12" t="str">
        <f aca="false">IF(A138="","",IF(COUNTIF(A$2:A138,A138)=1,MAX(B$1:B137)+1,""))</f>
        <v/>
      </c>
      <c r="D138" s="12"/>
    </row>
    <row r="139" customFormat="false" ht="15" hidden="false" customHeight="true" outlineLevel="0" collapsed="false">
      <c r="A139" s="12" t="str">
        <f aca="false">IF(Concealed!A144="","",TRIM(Concealed!A144))</f>
        <v/>
      </c>
      <c r="B139" s="12" t="str">
        <f aca="false">IF(A139="","",IF(COUNTIF(A$2:A139,A139)=1,MAX(B$1:B138)+1,""))</f>
        <v/>
      </c>
      <c r="D139" s="12"/>
    </row>
    <row r="140" customFormat="false" ht="15" hidden="false" customHeight="true" outlineLevel="0" collapsed="false">
      <c r="A140" s="12" t="str">
        <f aca="false">IF(Concealed!A145="","",TRIM(Concealed!A145))</f>
        <v/>
      </c>
      <c r="B140" s="12" t="str">
        <f aca="false">IF(A140="","",IF(COUNTIF(A$2:A140,A140)=1,MAX(B$1:B139)+1,""))</f>
        <v/>
      </c>
      <c r="D140" s="12"/>
    </row>
    <row r="141" customFormat="false" ht="15" hidden="false" customHeight="true" outlineLevel="0" collapsed="false">
      <c r="A141" s="12" t="str">
        <f aca="false">IF(Concealed!A146="","",TRIM(Concealed!A146))</f>
        <v/>
      </c>
      <c r="B141" s="12" t="str">
        <f aca="false">IF(A141="","",IF(COUNTIF(A$2:A141,A141)=1,MAX(B$1:B140)+1,""))</f>
        <v/>
      </c>
      <c r="D141" s="12"/>
    </row>
    <row r="142" customFormat="false" ht="15" hidden="false" customHeight="true" outlineLevel="0" collapsed="false">
      <c r="A142" s="12" t="str">
        <f aca="false">IF(Concealed!A147="","",TRIM(Concealed!A147))</f>
        <v/>
      </c>
      <c r="B142" s="12" t="str">
        <f aca="false">IF(A142="","",IF(COUNTIF(A$2:A142,A142)=1,MAX(B$1:B141)+1,""))</f>
        <v/>
      </c>
      <c r="D142" s="12"/>
    </row>
    <row r="143" customFormat="false" ht="15" hidden="false" customHeight="true" outlineLevel="0" collapsed="false">
      <c r="A143" s="12" t="str">
        <f aca="false">IF(Concealed!A148="","",TRIM(Concealed!A148))</f>
        <v/>
      </c>
      <c r="B143" s="12" t="str">
        <f aca="false">IF(A143="","",IF(COUNTIF(A$2:A143,A143)=1,MAX(B$1:B142)+1,""))</f>
        <v/>
      </c>
      <c r="D143" s="12"/>
    </row>
    <row r="144" customFormat="false" ht="15" hidden="false" customHeight="true" outlineLevel="0" collapsed="false">
      <c r="A144" s="12" t="str">
        <f aca="false">IF(Concealed!A149="","",TRIM(Concealed!A149))</f>
        <v/>
      </c>
      <c r="B144" s="12" t="str">
        <f aca="false">IF(A144="","",IF(COUNTIF(A$2:A144,A144)=1,MAX(B$1:B143)+1,""))</f>
        <v/>
      </c>
      <c r="D144" s="12"/>
    </row>
    <row r="145" customFormat="false" ht="15" hidden="false" customHeight="true" outlineLevel="0" collapsed="false">
      <c r="A145" s="12" t="str">
        <f aca="false">IF(Concealed!A150="","",TRIM(Concealed!A150))</f>
        <v/>
      </c>
      <c r="B145" s="12" t="str">
        <f aca="false">IF(A145="","",IF(COUNTIF(A$2:A145,A145)=1,MAX(B$1:B144)+1,""))</f>
        <v/>
      </c>
      <c r="D145" s="12"/>
    </row>
    <row r="146" customFormat="false" ht="15" hidden="false" customHeight="true" outlineLevel="0" collapsed="false">
      <c r="A146" s="12" t="str">
        <f aca="false">IF(Concealed!A151="","",TRIM(Concealed!A151))</f>
        <v/>
      </c>
      <c r="B146" s="12" t="str">
        <f aca="false">IF(A146="","",IF(COUNTIF(A$2:A146,A146)=1,MAX(B$1:B145)+1,""))</f>
        <v/>
      </c>
      <c r="D146" s="12"/>
    </row>
    <row r="147" customFormat="false" ht="15" hidden="false" customHeight="true" outlineLevel="0" collapsed="false">
      <c r="A147" s="12" t="str">
        <f aca="false">IF(Concealed!A152="","",TRIM(Concealed!A152))</f>
        <v/>
      </c>
      <c r="B147" s="12" t="str">
        <f aca="false">IF(A147="","",IF(COUNTIF(A$2:A147,A147)=1,MAX(B$1:B146)+1,""))</f>
        <v/>
      </c>
      <c r="D147" s="12"/>
    </row>
    <row r="148" customFormat="false" ht="15" hidden="false" customHeight="true" outlineLevel="0" collapsed="false">
      <c r="A148" s="12" t="str">
        <f aca="false">IF(Concealed!A153="","",TRIM(Concealed!A153))</f>
        <v/>
      </c>
      <c r="B148" s="12" t="str">
        <f aca="false">IF(A148="","",IF(COUNTIF(A$2:A148,A148)=1,MAX(B$1:B147)+1,""))</f>
        <v/>
      </c>
      <c r="D148" s="12"/>
    </row>
    <row r="149" customFormat="false" ht="15" hidden="false" customHeight="true" outlineLevel="0" collapsed="false">
      <c r="A149" s="12" t="str">
        <f aca="false">IF(Concealed!A154="","",TRIM(Concealed!A154))</f>
        <v/>
      </c>
      <c r="B149" s="12" t="str">
        <f aca="false">IF(A149="","",IF(COUNTIF(A$2:A149,A149)=1,MAX(B$1:B148)+1,""))</f>
        <v/>
      </c>
      <c r="D149" s="12"/>
    </row>
    <row r="150" customFormat="false" ht="15" hidden="false" customHeight="true" outlineLevel="0" collapsed="false">
      <c r="A150" s="12" t="str">
        <f aca="false">IF(Concealed!A155="","",TRIM(Concealed!A155))</f>
        <v/>
      </c>
      <c r="B150" s="12" t="str">
        <f aca="false">IF(A150="","",IF(COUNTIF(A$2:A150,A150)=1,MAX(B$1:B149)+1,""))</f>
        <v/>
      </c>
      <c r="D150" s="12"/>
    </row>
    <row r="151" customFormat="false" ht="15" hidden="false" customHeight="true" outlineLevel="0" collapsed="false">
      <c r="A151" s="12" t="str">
        <f aca="false">IF(Concealed!A156="","",TRIM(Concealed!A156))</f>
        <v/>
      </c>
      <c r="B151" s="12" t="str">
        <f aca="false">IF(A151="","",IF(COUNTIF(A$2:A151,A151)=1,MAX(B$1:B150)+1,""))</f>
        <v/>
      </c>
      <c r="D151" s="12"/>
    </row>
    <row r="152" customFormat="false" ht="15" hidden="false" customHeight="true" outlineLevel="0" collapsed="false">
      <c r="A152" s="12" t="str">
        <f aca="false">IF(Concealed!A157="","",TRIM(Concealed!A157))</f>
        <v/>
      </c>
      <c r="B152" s="12" t="str">
        <f aca="false">IF(A152="","",IF(COUNTIF(A$2:A152,A152)=1,MAX(B$1:B151)+1,""))</f>
        <v/>
      </c>
      <c r="D152" s="12"/>
    </row>
    <row r="153" customFormat="false" ht="15" hidden="false" customHeight="true" outlineLevel="0" collapsed="false">
      <c r="A153" s="12" t="str">
        <f aca="false">IF(Concealed!A158="","",TRIM(Concealed!A158))</f>
        <v/>
      </c>
      <c r="B153" s="12" t="str">
        <f aca="false">IF(A153="","",IF(COUNTIF(A$2:A153,A153)=1,MAX(B$1:B152)+1,""))</f>
        <v/>
      </c>
      <c r="D153" s="12"/>
    </row>
    <row r="154" customFormat="false" ht="15" hidden="false" customHeight="true" outlineLevel="0" collapsed="false">
      <c r="A154" s="12" t="str">
        <f aca="false">IF(Concealed!A159="","",TRIM(Concealed!A159))</f>
        <v/>
      </c>
      <c r="B154" s="12" t="str">
        <f aca="false">IF(A154="","",IF(COUNTIF(A$2:A154,A154)=1,MAX(B$1:B153)+1,""))</f>
        <v/>
      </c>
      <c r="D154" s="12"/>
    </row>
    <row r="155" customFormat="false" ht="15" hidden="false" customHeight="true" outlineLevel="0" collapsed="false">
      <c r="A155" s="12" t="str">
        <f aca="false">IF(Concealed!A160="","",TRIM(Concealed!A160))</f>
        <v/>
      </c>
      <c r="B155" s="12" t="str">
        <f aca="false">IF(A155="","",IF(COUNTIF(A$2:A155,A155)=1,MAX(B$1:B154)+1,""))</f>
        <v/>
      </c>
      <c r="D155" s="12"/>
    </row>
    <row r="156" customFormat="false" ht="15" hidden="false" customHeight="true" outlineLevel="0" collapsed="false">
      <c r="A156" s="12" t="str">
        <f aca="false">IF(Concealed!A161="","",TRIM(Concealed!A161))</f>
        <v/>
      </c>
      <c r="B156" s="12" t="str">
        <f aca="false">IF(A156="","",IF(COUNTIF(A$2:A156,A156)=1,MAX(B$1:B155)+1,""))</f>
        <v/>
      </c>
      <c r="D156" s="12"/>
    </row>
    <row r="157" customFormat="false" ht="15" hidden="false" customHeight="true" outlineLevel="0" collapsed="false">
      <c r="A157" s="12" t="str">
        <f aca="false">IF(Concealed!A162="","",TRIM(Concealed!A162))</f>
        <v/>
      </c>
      <c r="B157" s="12" t="str">
        <f aca="false">IF(A157="","",IF(COUNTIF(A$2:A157,A157)=1,MAX(B$1:B156)+1,""))</f>
        <v/>
      </c>
      <c r="D157" s="12"/>
    </row>
    <row r="158" customFormat="false" ht="15" hidden="false" customHeight="true" outlineLevel="0" collapsed="false">
      <c r="A158" s="12" t="str">
        <f aca="false">IF(Concealed!A163="","",TRIM(Concealed!A163))</f>
        <v/>
      </c>
      <c r="B158" s="12" t="str">
        <f aca="false">IF(A158="","",IF(COUNTIF(A$2:A158,A158)=1,MAX(B$1:B157)+1,""))</f>
        <v/>
      </c>
      <c r="D158" s="12"/>
    </row>
    <row r="159" customFormat="false" ht="15" hidden="false" customHeight="true" outlineLevel="0" collapsed="false">
      <c r="A159" s="12" t="str">
        <f aca="false">IF(Concealed!A164="","",TRIM(Concealed!A164))</f>
        <v/>
      </c>
      <c r="B159" s="12" t="str">
        <f aca="false">IF(A159="","",IF(COUNTIF(A$2:A159,A159)=1,MAX(B$1:B158)+1,""))</f>
        <v/>
      </c>
      <c r="D159" s="12"/>
    </row>
    <row r="160" customFormat="false" ht="15" hidden="false" customHeight="true" outlineLevel="0" collapsed="false">
      <c r="A160" s="12" t="str">
        <f aca="false">IF(Concealed!A165="","",TRIM(Concealed!A165))</f>
        <v/>
      </c>
      <c r="B160" s="12" t="str">
        <f aca="false">IF(A160="","",IF(COUNTIF(A$2:A160,A160)=1,MAX(B$1:B159)+1,""))</f>
        <v/>
      </c>
      <c r="D160" s="12"/>
    </row>
    <row r="161" customFormat="false" ht="15" hidden="false" customHeight="true" outlineLevel="0" collapsed="false">
      <c r="A161" s="12" t="str">
        <f aca="false">IF(Concealed!A166="","",TRIM(Concealed!A166))</f>
        <v/>
      </c>
      <c r="B161" s="12" t="str">
        <f aca="false">IF(A161="","",IF(COUNTIF(A$2:A161,A161)=1,MAX(B$1:B160)+1,""))</f>
        <v/>
      </c>
      <c r="D161" s="12"/>
    </row>
    <row r="162" customFormat="false" ht="15" hidden="false" customHeight="true" outlineLevel="0" collapsed="false">
      <c r="A162" s="12" t="str">
        <f aca="false">IF(Concealed!A167="","",TRIM(Concealed!A167))</f>
        <v/>
      </c>
      <c r="B162" s="12" t="str">
        <f aca="false">IF(A162="","",IF(COUNTIF(A$2:A162,A162)=1,MAX(B$1:B161)+1,""))</f>
        <v/>
      </c>
      <c r="D162" s="12"/>
    </row>
    <row r="163" customFormat="false" ht="15" hidden="false" customHeight="true" outlineLevel="0" collapsed="false">
      <c r="A163" s="12" t="str">
        <f aca="false">IF(Concealed!A168="","",TRIM(Concealed!A168))</f>
        <v/>
      </c>
      <c r="B163" s="12" t="str">
        <f aca="false">IF(A163="","",IF(COUNTIF(A$2:A163,A163)=1,MAX(B$1:B162)+1,""))</f>
        <v/>
      </c>
      <c r="D163" s="12"/>
    </row>
    <row r="164" customFormat="false" ht="15" hidden="false" customHeight="true" outlineLevel="0" collapsed="false">
      <c r="A164" s="12" t="str">
        <f aca="false">IF(Concealed!A169="","",TRIM(Concealed!A169))</f>
        <v/>
      </c>
      <c r="B164" s="12" t="str">
        <f aca="false">IF(A164="","",IF(COUNTIF(A$2:A164,A164)=1,MAX(B$1:B163)+1,""))</f>
        <v/>
      </c>
      <c r="D164" s="12"/>
    </row>
    <row r="165" customFormat="false" ht="15" hidden="false" customHeight="true" outlineLevel="0" collapsed="false">
      <c r="A165" s="12" t="str">
        <f aca="false">IF(Concealed!A170="","",TRIM(Concealed!A170))</f>
        <v/>
      </c>
      <c r="B165" s="12" t="str">
        <f aca="false">IF(A165="","",IF(COUNTIF(A$2:A165,A165)=1,MAX(B$1:B164)+1,""))</f>
        <v/>
      </c>
      <c r="D165" s="12"/>
    </row>
    <row r="166" customFormat="false" ht="15" hidden="false" customHeight="true" outlineLevel="0" collapsed="false">
      <c r="A166" s="12" t="str">
        <f aca="false">IF(Concealed!A171="","",TRIM(Concealed!A171))</f>
        <v/>
      </c>
      <c r="B166" s="12" t="str">
        <f aca="false">IF(A166="","",IF(COUNTIF(A$2:A166,A166)=1,MAX(B$1:B165)+1,""))</f>
        <v/>
      </c>
      <c r="D166" s="12"/>
    </row>
    <row r="167" customFormat="false" ht="15" hidden="false" customHeight="true" outlineLevel="0" collapsed="false">
      <c r="A167" s="12" t="str">
        <f aca="false">IF(Concealed!A172="","",TRIM(Concealed!A172))</f>
        <v/>
      </c>
      <c r="B167" s="12" t="str">
        <f aca="false">IF(A167="","",IF(COUNTIF(A$2:A167,A167)=1,MAX(B$1:B166)+1,""))</f>
        <v/>
      </c>
      <c r="D167" s="12"/>
    </row>
    <row r="168" customFormat="false" ht="15" hidden="false" customHeight="true" outlineLevel="0" collapsed="false">
      <c r="A168" s="12" t="str">
        <f aca="false">IF(Concealed!A173="","",TRIM(Concealed!A173))</f>
        <v/>
      </c>
      <c r="B168" s="12" t="str">
        <f aca="false">IF(A168="","",IF(COUNTIF(A$2:A168,A168)=1,MAX(B$1:B167)+1,""))</f>
        <v/>
      </c>
      <c r="D168" s="12"/>
    </row>
    <row r="169" customFormat="false" ht="15" hidden="false" customHeight="true" outlineLevel="0" collapsed="false">
      <c r="A169" s="12" t="str">
        <f aca="false">IF(Concealed!A174="","",TRIM(Concealed!A174))</f>
        <v/>
      </c>
      <c r="B169" s="12" t="str">
        <f aca="false">IF(A169="","",IF(COUNTIF(A$2:A169,A169)=1,MAX(B$1:B168)+1,""))</f>
        <v/>
      </c>
      <c r="D169" s="12"/>
    </row>
    <row r="170" customFormat="false" ht="15" hidden="false" customHeight="true" outlineLevel="0" collapsed="false">
      <c r="A170" s="12" t="str">
        <f aca="false">IF(Concealed!A175="","",TRIM(Concealed!A175))</f>
        <v/>
      </c>
      <c r="B170" s="12" t="str">
        <f aca="false">IF(A170="","",IF(COUNTIF(A$2:A170,A170)=1,MAX(B$1:B169)+1,""))</f>
        <v/>
      </c>
      <c r="D170" s="12"/>
    </row>
    <row r="171" customFormat="false" ht="15" hidden="false" customHeight="true" outlineLevel="0" collapsed="false">
      <c r="A171" s="12" t="str">
        <f aca="false">IF(Concealed!A176="","",TRIM(Concealed!A176))</f>
        <v/>
      </c>
      <c r="B171" s="12" t="str">
        <f aca="false">IF(A171="","",IF(COUNTIF(A$2:A171,A171)=1,MAX(B$1:B170)+1,""))</f>
        <v/>
      </c>
      <c r="D171" s="12"/>
    </row>
    <row r="172" customFormat="false" ht="15" hidden="false" customHeight="true" outlineLevel="0" collapsed="false">
      <c r="A172" s="12" t="str">
        <f aca="false">IF(Concealed!A177="","",TRIM(Concealed!A177))</f>
        <v/>
      </c>
      <c r="B172" s="12" t="str">
        <f aca="false">IF(A172="","",IF(COUNTIF(A$2:A172,A172)=1,MAX(B$1:B171)+1,""))</f>
        <v/>
      </c>
      <c r="D172" s="12"/>
    </row>
    <row r="173" customFormat="false" ht="15" hidden="false" customHeight="true" outlineLevel="0" collapsed="false">
      <c r="A173" s="12" t="str">
        <f aca="false">IF(Concealed!A178="","",TRIM(Concealed!A178))</f>
        <v/>
      </c>
      <c r="B173" s="12" t="str">
        <f aca="false">IF(A173="","",IF(COUNTIF(A$2:A173,A173)=1,MAX(B$1:B172)+1,""))</f>
        <v/>
      </c>
      <c r="D173" s="12"/>
    </row>
    <row r="174" customFormat="false" ht="15" hidden="false" customHeight="true" outlineLevel="0" collapsed="false">
      <c r="A174" s="12" t="str">
        <f aca="false">IF(Concealed!A179="","",TRIM(Concealed!A179))</f>
        <v/>
      </c>
      <c r="B174" s="12" t="str">
        <f aca="false">IF(A174="","",IF(COUNTIF(A$2:A174,A174)=1,MAX(B$1:B173)+1,""))</f>
        <v/>
      </c>
      <c r="D174" s="12"/>
    </row>
    <row r="175" customFormat="false" ht="15" hidden="false" customHeight="true" outlineLevel="0" collapsed="false">
      <c r="A175" s="12" t="str">
        <f aca="false">IF(Concealed!A180="","",TRIM(Concealed!A180))</f>
        <v/>
      </c>
      <c r="B175" s="12" t="str">
        <f aca="false">IF(A175="","",IF(COUNTIF(A$2:A175,A175)=1,MAX(B$1:B174)+1,""))</f>
        <v/>
      </c>
      <c r="D175" s="12"/>
    </row>
    <row r="176" customFormat="false" ht="15" hidden="false" customHeight="true" outlineLevel="0" collapsed="false">
      <c r="A176" s="12" t="str">
        <f aca="false">IF(Concealed!A181="","",TRIM(Concealed!A181))</f>
        <v/>
      </c>
      <c r="B176" s="12" t="str">
        <f aca="false">IF(A176="","",IF(COUNTIF(A$2:A176,A176)=1,MAX(B$1:B175)+1,""))</f>
        <v/>
      </c>
      <c r="D176" s="12"/>
    </row>
    <row r="177" customFormat="false" ht="15" hidden="false" customHeight="true" outlineLevel="0" collapsed="false">
      <c r="A177" s="12" t="str">
        <f aca="false">IF(Concealed!A182="","",TRIM(Concealed!A182))</f>
        <v/>
      </c>
      <c r="B177" s="12" t="str">
        <f aca="false">IF(A177="","",IF(COUNTIF(A$2:A177,A177)=1,MAX(B$1:B176)+1,""))</f>
        <v/>
      </c>
      <c r="D177" s="12"/>
    </row>
    <row r="178" customFormat="false" ht="15" hidden="false" customHeight="true" outlineLevel="0" collapsed="false">
      <c r="A178" s="12" t="str">
        <f aca="false">IF(Concealed!A183="","",TRIM(Concealed!A183))</f>
        <v/>
      </c>
      <c r="B178" s="12" t="str">
        <f aca="false">IF(A178="","",IF(COUNTIF(A$2:A178,A178)=1,MAX(B$1:B177)+1,""))</f>
        <v/>
      </c>
      <c r="D178" s="12"/>
    </row>
    <row r="179" customFormat="false" ht="15" hidden="false" customHeight="true" outlineLevel="0" collapsed="false">
      <c r="A179" s="12" t="str">
        <f aca="false">IF(Concealed!A184="","",TRIM(Concealed!A184))</f>
        <v/>
      </c>
      <c r="B179" s="12" t="str">
        <f aca="false">IF(A179="","",IF(COUNTIF(A$2:A179,A179)=1,MAX(B$1:B178)+1,""))</f>
        <v/>
      </c>
      <c r="D179" s="12"/>
    </row>
    <row r="180" customFormat="false" ht="15" hidden="false" customHeight="true" outlineLevel="0" collapsed="false">
      <c r="A180" s="12" t="str">
        <f aca="false">IF(Concealed!A185="","",TRIM(Concealed!A185))</f>
        <v/>
      </c>
      <c r="B180" s="12" t="str">
        <f aca="false">IF(A180="","",IF(COUNTIF(A$2:A180,A180)=1,MAX(B$1:B179)+1,""))</f>
        <v/>
      </c>
      <c r="D180" s="12"/>
    </row>
    <row r="181" customFormat="false" ht="15" hidden="false" customHeight="true" outlineLevel="0" collapsed="false">
      <c r="A181" s="12" t="str">
        <f aca="false">IF(Concealed!A186="","",TRIM(Concealed!A186))</f>
        <v/>
      </c>
      <c r="B181" s="12" t="str">
        <f aca="false">IF(A181="","",IF(COUNTIF(A$2:A181,A181)=1,MAX(B$1:B180)+1,""))</f>
        <v/>
      </c>
      <c r="D181" s="12"/>
    </row>
    <row r="182" customFormat="false" ht="15" hidden="false" customHeight="true" outlineLevel="0" collapsed="false">
      <c r="A182" s="12" t="str">
        <f aca="false">IF(Concealed!A187="","",TRIM(Concealed!A187))</f>
        <v/>
      </c>
      <c r="B182" s="12" t="str">
        <f aca="false">IF(A182="","",IF(COUNTIF(A$2:A182,A182)=1,MAX(B$1:B181)+1,""))</f>
        <v/>
      </c>
      <c r="D182" s="12"/>
    </row>
    <row r="183" customFormat="false" ht="15" hidden="false" customHeight="true" outlineLevel="0" collapsed="false">
      <c r="A183" s="12" t="str">
        <f aca="false">IF(Concealed!A188="","",TRIM(Concealed!A188))</f>
        <v/>
      </c>
      <c r="B183" s="12" t="str">
        <f aca="false">IF(A183="","",IF(COUNTIF(A$2:A183,A183)=1,MAX(B$1:B182)+1,""))</f>
        <v/>
      </c>
      <c r="D183" s="12"/>
    </row>
    <row r="184" customFormat="false" ht="15" hidden="false" customHeight="true" outlineLevel="0" collapsed="false">
      <c r="A184" s="12" t="str">
        <f aca="false">IF(Concealed!A189="","",TRIM(Concealed!A189))</f>
        <v/>
      </c>
      <c r="B184" s="12" t="str">
        <f aca="false">IF(A184="","",IF(COUNTIF(A$2:A184,A184)=1,MAX(B$1:B183)+1,""))</f>
        <v/>
      </c>
      <c r="D184" s="12"/>
    </row>
    <row r="185" customFormat="false" ht="15" hidden="false" customHeight="true" outlineLevel="0" collapsed="false">
      <c r="A185" s="12" t="str">
        <f aca="false">IF(Concealed!A190="","",TRIM(Concealed!A190))</f>
        <v/>
      </c>
      <c r="B185" s="12" t="str">
        <f aca="false">IF(A185="","",IF(COUNTIF(A$2:A185,A185)=1,MAX(B$1:B184)+1,""))</f>
        <v/>
      </c>
      <c r="D185" s="12"/>
    </row>
    <row r="186" customFormat="false" ht="15" hidden="false" customHeight="true" outlineLevel="0" collapsed="false">
      <c r="A186" s="12" t="str">
        <f aca="false">IF(Concealed!A191="","",TRIM(Concealed!A191))</f>
        <v/>
      </c>
      <c r="B186" s="12" t="str">
        <f aca="false">IF(A186="","",IF(COUNTIF(A$2:A186,A186)=1,MAX(B$1:B185)+1,""))</f>
        <v/>
      </c>
      <c r="D186" s="12"/>
    </row>
    <row r="187" customFormat="false" ht="15" hidden="false" customHeight="true" outlineLevel="0" collapsed="false">
      <c r="A187" s="12" t="str">
        <f aca="false">IF(Concealed!A192="","",TRIM(Concealed!A192))</f>
        <v/>
      </c>
      <c r="B187" s="12" t="str">
        <f aca="false">IF(A187="","",IF(COUNTIF(A$2:A187,A187)=1,MAX(B$1:B186)+1,""))</f>
        <v/>
      </c>
      <c r="D187" s="12"/>
    </row>
    <row r="188" customFormat="false" ht="15" hidden="false" customHeight="true" outlineLevel="0" collapsed="false">
      <c r="A188" s="12" t="str">
        <f aca="false">IF(Concealed!A193="","",TRIM(Concealed!A193))</f>
        <v/>
      </c>
      <c r="B188" s="12" t="str">
        <f aca="false">IF(A188="","",IF(COUNTIF(A$2:A188,A188)=1,MAX(B$1:B187)+1,""))</f>
        <v/>
      </c>
      <c r="D188" s="12"/>
    </row>
    <row r="189" customFormat="false" ht="15" hidden="false" customHeight="true" outlineLevel="0" collapsed="false">
      <c r="A189" s="12" t="str">
        <f aca="false">IF(Concealed!A194="","",TRIM(Concealed!A194))</f>
        <v/>
      </c>
      <c r="B189" s="12" t="str">
        <f aca="false">IF(A189="","",IF(COUNTIF(A$2:A189,A189)=1,MAX(B$1:B188)+1,""))</f>
        <v/>
      </c>
      <c r="D189" s="12"/>
    </row>
    <row r="190" customFormat="false" ht="15" hidden="false" customHeight="true" outlineLevel="0" collapsed="false">
      <c r="A190" s="12" t="str">
        <f aca="false">IF(Concealed!A195="","",TRIM(Concealed!A195))</f>
        <v/>
      </c>
      <c r="B190" s="12" t="str">
        <f aca="false">IF(A190="","",IF(COUNTIF(A$2:A190,A190)=1,MAX(B$1:B189)+1,""))</f>
        <v/>
      </c>
      <c r="D190" s="12"/>
    </row>
    <row r="191" customFormat="false" ht="15" hidden="false" customHeight="true" outlineLevel="0" collapsed="false">
      <c r="A191" s="12" t="str">
        <f aca="false">IF(Concealed!A196="","",TRIM(Concealed!A196))</f>
        <v/>
      </c>
      <c r="B191" s="12" t="str">
        <f aca="false">IF(A191="","",IF(COUNTIF(A$2:A191,A191)=1,MAX(B$1:B190)+1,""))</f>
        <v/>
      </c>
      <c r="D191" s="12"/>
    </row>
    <row r="192" customFormat="false" ht="15" hidden="false" customHeight="true" outlineLevel="0" collapsed="false">
      <c r="A192" s="12" t="str">
        <f aca="false">IF(Concealed!A197="","",TRIM(Concealed!A197))</f>
        <v/>
      </c>
      <c r="B192" s="12" t="str">
        <f aca="false">IF(A192="","",IF(COUNTIF(A$2:A192,A192)=1,MAX(B$1:B191)+1,""))</f>
        <v/>
      </c>
      <c r="D192" s="12"/>
    </row>
    <row r="193" customFormat="false" ht="15" hidden="false" customHeight="true" outlineLevel="0" collapsed="false">
      <c r="A193" s="12" t="str">
        <f aca="false">IF(Concealed!A198="","",TRIM(Concealed!A198))</f>
        <v/>
      </c>
      <c r="B193" s="12" t="str">
        <f aca="false">IF(A193="","",IF(COUNTIF(A$2:A193,A193)=1,MAX(B$1:B192)+1,""))</f>
        <v/>
      </c>
      <c r="D193" s="12"/>
    </row>
    <row r="194" customFormat="false" ht="15" hidden="false" customHeight="true" outlineLevel="0" collapsed="false">
      <c r="A194" s="12" t="str">
        <f aca="false">IF(Concealed!A199="","",TRIM(Concealed!A199))</f>
        <v/>
      </c>
      <c r="B194" s="12" t="str">
        <f aca="false">IF(A194="","",IF(COUNTIF(A$2:A194,A194)=1,MAX(B$1:B193)+1,""))</f>
        <v/>
      </c>
      <c r="D194" s="12"/>
    </row>
    <row r="195" customFormat="false" ht="15" hidden="false" customHeight="true" outlineLevel="0" collapsed="false">
      <c r="A195" s="12" t="str">
        <f aca="false">IF(Concealed!A200="","",TRIM(Concealed!A200))</f>
        <v/>
      </c>
      <c r="B195" s="12" t="str">
        <f aca="false">IF(A195="","",IF(COUNTIF(A$2:A195,A195)=1,MAX(B$1:B194)+1,""))</f>
        <v/>
      </c>
      <c r="D195" s="12"/>
    </row>
    <row r="196" customFormat="false" ht="15" hidden="false" customHeight="true" outlineLevel="0" collapsed="false">
      <c r="A196" s="12" t="str">
        <f aca="false">IF(Concealed!A201="","",TRIM(Concealed!A201))</f>
        <v/>
      </c>
      <c r="B196" s="12" t="str">
        <f aca="false">IF(A196="","",IF(COUNTIF(A$2:A196,A196)=1,MAX(B$1:B195)+1,""))</f>
        <v/>
      </c>
      <c r="D196" s="12"/>
    </row>
    <row r="197" customFormat="false" ht="15" hidden="false" customHeight="true" outlineLevel="0" collapsed="false">
      <c r="A197" s="12" t="str">
        <f aca="false">IF(Concealed!A202="","",TRIM(Concealed!A202))</f>
        <v/>
      </c>
      <c r="B197" s="12" t="str">
        <f aca="false">IF(A197="","",IF(COUNTIF(A$2:A197,A197)=1,MAX(B$1:B196)+1,""))</f>
        <v/>
      </c>
      <c r="D197" s="12"/>
    </row>
    <row r="198" customFormat="false" ht="15" hidden="false" customHeight="true" outlineLevel="0" collapsed="false">
      <c r="A198" s="12" t="str">
        <f aca="false">IF(Concealed!A203="","",TRIM(Concealed!A203))</f>
        <v/>
      </c>
      <c r="B198" s="12" t="str">
        <f aca="false">IF(A198="","",IF(COUNTIF(A$2:A198,A198)=1,MAX(B$1:B197)+1,""))</f>
        <v/>
      </c>
      <c r="D198" s="12"/>
    </row>
    <row r="199" customFormat="false" ht="15" hidden="false" customHeight="true" outlineLevel="0" collapsed="false">
      <c r="A199" s="12" t="str">
        <f aca="false">IF(Concealed!A204="","",TRIM(Concealed!A204))</f>
        <v/>
      </c>
      <c r="B199" s="12" t="str">
        <f aca="false">IF(A199="","",IF(COUNTIF(A$2:A199,A199)=1,MAX(B$1:B198)+1,""))</f>
        <v/>
      </c>
      <c r="D199" s="12"/>
    </row>
    <row r="200" customFormat="false" ht="15" hidden="false" customHeight="true" outlineLevel="0" collapsed="false">
      <c r="A200" s="12" t="str">
        <f aca="false">IF(Concealed!A205="","",TRIM(Concealed!A205))</f>
        <v/>
      </c>
      <c r="B200" s="12" t="str">
        <f aca="false">IF(A200="","",IF(COUNTIF(A$2:A200,A200)=1,MAX(B$1:B199)+1,""))</f>
        <v/>
      </c>
      <c r="D200" s="12"/>
    </row>
    <row r="201" customFormat="false" ht="15" hidden="false" customHeight="true" outlineLevel="0" collapsed="false">
      <c r="A201" s="12" t="str">
        <f aca="false">IF(Concealed!A206="","",TRIM(Concealed!A206))</f>
        <v/>
      </c>
      <c r="B201" s="12" t="str">
        <f aca="false">IF(A201="","",IF(COUNTIF(A$2:A201,A201)=1,MAX(B$1:B200)+1,""))</f>
        <v/>
      </c>
      <c r="D201" s="12"/>
    </row>
    <row r="202" customFormat="false" ht="15" hidden="false" customHeight="true" outlineLevel="0" collapsed="false">
      <c r="A202" s="12" t="str">
        <f aca="false">IF(Concealed!A207="","",TRIM(Concealed!A207))</f>
        <v/>
      </c>
      <c r="B202" s="12" t="str">
        <f aca="false">IF(A202="","",IF(COUNTIF(A$2:A202,A202)=1,MAX(B$1:B201)+1,""))</f>
        <v/>
      </c>
      <c r="D202" s="12"/>
    </row>
    <row r="203" customFormat="false" ht="15" hidden="false" customHeight="true" outlineLevel="0" collapsed="false">
      <c r="A203" s="12" t="str">
        <f aca="false">IF(Concealed!A208="","",TRIM(Concealed!A208))</f>
        <v/>
      </c>
      <c r="B203" s="12" t="str">
        <f aca="false">IF(A203="","",IF(COUNTIF(A$2:A203,A203)=1,MAX(B$1:B202)+1,""))</f>
        <v/>
      </c>
      <c r="D203" s="12"/>
    </row>
    <row r="204" customFormat="false" ht="15" hidden="false" customHeight="true" outlineLevel="0" collapsed="false">
      <c r="A204" s="12" t="str">
        <f aca="false">IF(Concealed!A209="","",TRIM(Concealed!A209))</f>
        <v/>
      </c>
      <c r="B204" s="12" t="str">
        <f aca="false">IF(A204="","",IF(COUNTIF(A$2:A204,A204)=1,MAX(B$1:B203)+1,""))</f>
        <v/>
      </c>
      <c r="D204" s="12"/>
    </row>
    <row r="205" customFormat="false" ht="15" hidden="false" customHeight="true" outlineLevel="0" collapsed="false">
      <c r="A205" s="12" t="str">
        <f aca="false">IF(Concealed!A210="","",TRIM(Concealed!A210))</f>
        <v/>
      </c>
      <c r="B205" s="12" t="str">
        <f aca="false">IF(A205="","",IF(COUNTIF(A$2:A205,A205)=1,MAX(B$1:B204)+1,""))</f>
        <v/>
      </c>
      <c r="D205" s="12"/>
    </row>
    <row r="206" customFormat="false" ht="15" hidden="false" customHeight="true" outlineLevel="0" collapsed="false">
      <c r="A206" s="12" t="str">
        <f aca="false">IF(Concealed!A211="","",TRIM(Concealed!A211))</f>
        <v/>
      </c>
      <c r="B206" s="12" t="str">
        <f aca="false">IF(A206="","",IF(COUNTIF(A$2:A206,A206)=1,MAX(B$1:B205)+1,""))</f>
        <v/>
      </c>
      <c r="D206" s="12"/>
    </row>
    <row r="207" customFormat="false" ht="15" hidden="false" customHeight="true" outlineLevel="0" collapsed="false">
      <c r="A207" s="12" t="str">
        <f aca="false">IF(Concealed!A212="","",TRIM(Concealed!A212))</f>
        <v/>
      </c>
      <c r="B207" s="12" t="str">
        <f aca="false">IF(A207="","",IF(COUNTIF(A$2:A207,A207)=1,MAX(B$1:B206)+1,""))</f>
        <v/>
      </c>
      <c r="D207" s="12"/>
    </row>
    <row r="208" customFormat="false" ht="15" hidden="false" customHeight="true" outlineLevel="0" collapsed="false">
      <c r="A208" s="12" t="str">
        <f aca="false">IF(Concealed!A213="","",TRIM(Concealed!A213))</f>
        <v/>
      </c>
      <c r="B208" s="12" t="str">
        <f aca="false">IF(A208="","",IF(COUNTIF(A$2:A208,A208)=1,MAX(B$1:B207)+1,""))</f>
        <v/>
      </c>
      <c r="D208" s="12"/>
    </row>
    <row r="209" customFormat="false" ht="15" hidden="false" customHeight="true" outlineLevel="0" collapsed="false">
      <c r="A209" s="12" t="str">
        <f aca="false">IF(Concealed!A214="","",TRIM(Concealed!A214))</f>
        <v/>
      </c>
      <c r="B209" s="12" t="str">
        <f aca="false">IF(A209="","",IF(COUNTIF(A$2:A209,A209)=1,MAX(B$1:B208)+1,""))</f>
        <v/>
      </c>
      <c r="D209" s="12"/>
    </row>
    <row r="210" customFormat="false" ht="15" hidden="false" customHeight="true" outlineLevel="0" collapsed="false">
      <c r="A210" s="12" t="str">
        <f aca="false">IF(Concealed!A215="","",TRIM(Concealed!A215))</f>
        <v/>
      </c>
      <c r="B210" s="12" t="str">
        <f aca="false">IF(A210="","",IF(COUNTIF(A$2:A210,A210)=1,MAX(B$1:B209)+1,""))</f>
        <v/>
      </c>
      <c r="D210" s="12"/>
    </row>
    <row r="211" customFormat="false" ht="15" hidden="false" customHeight="true" outlineLevel="0" collapsed="false">
      <c r="A211" s="12" t="str">
        <f aca="false">IF(Concealed!A216="","",TRIM(Concealed!A216))</f>
        <v/>
      </c>
      <c r="B211" s="12" t="str">
        <f aca="false">IF(A211="","",IF(COUNTIF(A$2:A211,A211)=1,MAX(B$1:B210)+1,""))</f>
        <v/>
      </c>
      <c r="D211" s="12"/>
    </row>
    <row r="212" customFormat="false" ht="15" hidden="false" customHeight="true" outlineLevel="0" collapsed="false">
      <c r="A212" s="12" t="str">
        <f aca="false">IF(Concealed!A217="","",TRIM(Concealed!A217))</f>
        <v/>
      </c>
      <c r="B212" s="12" t="str">
        <f aca="false">IF(A212="","",IF(COUNTIF(A$2:A212,A212)=1,MAX(B$1:B211)+1,""))</f>
        <v/>
      </c>
      <c r="D212" s="12"/>
    </row>
    <row r="213" customFormat="false" ht="15" hidden="false" customHeight="true" outlineLevel="0" collapsed="false">
      <c r="A213" s="12" t="str">
        <f aca="false">IF(Concealed!A218="","",TRIM(Concealed!A218))</f>
        <v/>
      </c>
      <c r="B213" s="12" t="str">
        <f aca="false">IF(A213="","",IF(COUNTIF(A$2:A213,A213)=1,MAX(B$1:B212)+1,""))</f>
        <v/>
      </c>
      <c r="D213" s="12"/>
    </row>
    <row r="214" customFormat="false" ht="15" hidden="false" customHeight="true" outlineLevel="0" collapsed="false">
      <c r="A214" s="12" t="str">
        <f aca="false">IF(Concealed!A219="","",TRIM(Concealed!A219))</f>
        <v/>
      </c>
      <c r="B214" s="12" t="str">
        <f aca="false">IF(A214="","",IF(COUNTIF(A$2:A214,A214)=1,MAX(B$1:B213)+1,""))</f>
        <v/>
      </c>
      <c r="D214" s="12"/>
    </row>
    <row r="215" customFormat="false" ht="15" hidden="false" customHeight="true" outlineLevel="0" collapsed="false">
      <c r="A215" s="12" t="str">
        <f aca="false">IF(Concealed!A220="","",TRIM(Concealed!A220))</f>
        <v/>
      </c>
      <c r="B215" s="12" t="str">
        <f aca="false">IF(A215="","",IF(COUNTIF(A$2:A215,A215)=1,MAX(B$1:B214)+1,""))</f>
        <v/>
      </c>
      <c r="D215" s="12"/>
    </row>
    <row r="216" customFormat="false" ht="15" hidden="false" customHeight="true" outlineLevel="0" collapsed="false">
      <c r="A216" s="12" t="str">
        <f aca="false">IF(Concealed!A221="","",TRIM(Concealed!A221))</f>
        <v/>
      </c>
      <c r="B216" s="12" t="str">
        <f aca="false">IF(A216="","",IF(COUNTIF(A$2:A216,A216)=1,MAX(B$1:B215)+1,""))</f>
        <v/>
      </c>
      <c r="D216" s="12"/>
    </row>
    <row r="217" customFormat="false" ht="15" hidden="false" customHeight="true" outlineLevel="0" collapsed="false">
      <c r="A217" s="12" t="str">
        <f aca="false">IF(Concealed!A222="","",TRIM(Concealed!A222))</f>
        <v/>
      </c>
      <c r="B217" s="12" t="str">
        <f aca="false">IF(A217="","",IF(COUNTIF(A$2:A217,A217)=1,MAX(B$1:B216)+1,""))</f>
        <v/>
      </c>
      <c r="D217" s="12"/>
    </row>
    <row r="218" customFormat="false" ht="15" hidden="false" customHeight="true" outlineLevel="0" collapsed="false">
      <c r="A218" s="12" t="str">
        <f aca="false">IF(Concealed!A223="","",TRIM(Concealed!A223))</f>
        <v/>
      </c>
      <c r="B218" s="12" t="str">
        <f aca="false">IF(A218="","",IF(COUNTIF(A$2:A218,A218)=1,MAX(B$1:B217)+1,""))</f>
        <v/>
      </c>
      <c r="D218" s="12"/>
    </row>
    <row r="219" customFormat="false" ht="15" hidden="false" customHeight="true" outlineLevel="0" collapsed="false">
      <c r="A219" s="12" t="str">
        <f aca="false">IF(Concealed!A224="","",TRIM(Concealed!A224))</f>
        <v/>
      </c>
      <c r="B219" s="12" t="str">
        <f aca="false">IF(A219="","",IF(COUNTIF(A$2:A219,A219)=1,MAX(B$1:B218)+1,""))</f>
        <v/>
      </c>
      <c r="D219" s="12"/>
    </row>
    <row r="220" customFormat="false" ht="15" hidden="false" customHeight="true" outlineLevel="0" collapsed="false">
      <c r="A220" s="12" t="str">
        <f aca="false">IF(Concealed!A225="","",TRIM(Concealed!A225))</f>
        <v/>
      </c>
      <c r="B220" s="12" t="str">
        <f aca="false">IF(A220="","",IF(COUNTIF(A$2:A220,A220)=1,MAX(B$1:B219)+1,""))</f>
        <v/>
      </c>
      <c r="D220" s="12"/>
    </row>
    <row r="221" customFormat="false" ht="15" hidden="false" customHeight="true" outlineLevel="0" collapsed="false">
      <c r="A221" s="12" t="str">
        <f aca="false">IF(Concealed!A226="","",TRIM(Concealed!A226))</f>
        <v/>
      </c>
      <c r="B221" s="12" t="str">
        <f aca="false">IF(A221="","",IF(COUNTIF(A$2:A221,A221)=1,MAX(B$1:B220)+1,""))</f>
        <v/>
      </c>
      <c r="D221" s="12"/>
    </row>
    <row r="222" customFormat="false" ht="15" hidden="false" customHeight="true" outlineLevel="0" collapsed="false">
      <c r="A222" s="12" t="str">
        <f aca="false">IF(Concealed!A227="","",TRIM(Concealed!A227))</f>
        <v/>
      </c>
      <c r="B222" s="12" t="str">
        <f aca="false">IF(A222="","",IF(COUNTIF(A$2:A222,A222)=1,MAX(B$1:B221)+1,""))</f>
        <v/>
      </c>
      <c r="D222" s="12"/>
    </row>
    <row r="223" customFormat="false" ht="15" hidden="false" customHeight="true" outlineLevel="0" collapsed="false">
      <c r="A223" s="12" t="str">
        <f aca="false">IF(Concealed!A228="","",TRIM(Concealed!A228))</f>
        <v/>
      </c>
      <c r="B223" s="12" t="str">
        <f aca="false">IF(A223="","",IF(COUNTIF(A$2:A223,A223)=1,MAX(B$1:B222)+1,""))</f>
        <v/>
      </c>
      <c r="D223" s="12"/>
    </row>
    <row r="224" customFormat="false" ht="15" hidden="false" customHeight="true" outlineLevel="0" collapsed="false">
      <c r="A224" s="12" t="str">
        <f aca="false">IF(Concealed!A229="","",TRIM(Concealed!A229))</f>
        <v/>
      </c>
      <c r="B224" s="12" t="str">
        <f aca="false">IF(A224="","",IF(COUNTIF(A$2:A224,A224)=1,MAX(B$1:B223)+1,""))</f>
        <v/>
      </c>
      <c r="D224" s="12"/>
    </row>
    <row r="225" customFormat="false" ht="15" hidden="false" customHeight="true" outlineLevel="0" collapsed="false">
      <c r="A225" s="12" t="str">
        <f aca="false">IF(Concealed!A230="","",TRIM(Concealed!A230))</f>
        <v/>
      </c>
      <c r="B225" s="12" t="str">
        <f aca="false">IF(A225="","",IF(COUNTIF(A$2:A225,A225)=1,MAX(B$1:B224)+1,""))</f>
        <v/>
      </c>
      <c r="D225" s="12"/>
    </row>
    <row r="226" customFormat="false" ht="15" hidden="false" customHeight="true" outlineLevel="0" collapsed="false">
      <c r="A226" s="12" t="str">
        <f aca="false">IF(Concealed!A231="","",TRIM(Concealed!A231))</f>
        <v/>
      </c>
      <c r="B226" s="12" t="str">
        <f aca="false">IF(A226="","",IF(COUNTIF(A$2:A226,A226)=1,MAX(B$1:B225)+1,""))</f>
        <v/>
      </c>
      <c r="D226" s="12"/>
    </row>
    <row r="227" customFormat="false" ht="15" hidden="false" customHeight="true" outlineLevel="0" collapsed="false">
      <c r="A227" s="12" t="str">
        <f aca="false">IF(Concealed!A232="","",TRIM(Concealed!A232))</f>
        <v/>
      </c>
      <c r="B227" s="12" t="str">
        <f aca="false">IF(A227="","",IF(COUNTIF(A$2:A227,A227)=1,MAX(B$1:B226)+1,""))</f>
        <v/>
      </c>
      <c r="D227" s="12"/>
    </row>
    <row r="228" customFormat="false" ht="15" hidden="false" customHeight="true" outlineLevel="0" collapsed="false">
      <c r="A228" s="12" t="str">
        <f aca="false">IF(Concealed!A233="","",TRIM(Concealed!A233))</f>
        <v/>
      </c>
      <c r="B228" s="12" t="str">
        <f aca="false">IF(A228="","",IF(COUNTIF(A$2:A228,A228)=1,MAX(B$1:B227)+1,""))</f>
        <v/>
      </c>
      <c r="D228" s="12"/>
    </row>
    <row r="229" customFormat="false" ht="15" hidden="false" customHeight="true" outlineLevel="0" collapsed="false">
      <c r="A229" s="12" t="str">
        <f aca="false">IF(Concealed!A234="","",TRIM(Concealed!A234))</f>
        <v/>
      </c>
      <c r="B229" s="12" t="str">
        <f aca="false">IF(A229="","",IF(COUNTIF(A$2:A229,A229)=1,MAX(B$1:B228)+1,""))</f>
        <v/>
      </c>
      <c r="D229" s="12"/>
    </row>
    <row r="230" customFormat="false" ht="15" hidden="false" customHeight="true" outlineLevel="0" collapsed="false">
      <c r="A230" s="12" t="str">
        <f aca="false">IF(Concealed!A235="","",TRIM(Concealed!A235))</f>
        <v/>
      </c>
      <c r="B230" s="12" t="str">
        <f aca="false">IF(A230="","",IF(COUNTIF(A$2:A230,A230)=1,MAX(B$1:B229)+1,""))</f>
        <v/>
      </c>
      <c r="D230" s="12"/>
    </row>
    <row r="231" customFormat="false" ht="15" hidden="false" customHeight="true" outlineLevel="0" collapsed="false">
      <c r="A231" s="12" t="str">
        <f aca="false">IF(Concealed!A236="","",TRIM(Concealed!A236))</f>
        <v/>
      </c>
      <c r="B231" s="12" t="str">
        <f aca="false">IF(A231="","",IF(COUNTIF(A$2:A231,A231)=1,MAX(B$1:B230)+1,""))</f>
        <v/>
      </c>
      <c r="D231" s="12"/>
    </row>
    <row r="232" customFormat="false" ht="15" hidden="false" customHeight="true" outlineLevel="0" collapsed="false">
      <c r="A232" s="12" t="str">
        <f aca="false">IF(Concealed!A237="","",TRIM(Concealed!A237))</f>
        <v/>
      </c>
      <c r="B232" s="12" t="str">
        <f aca="false">IF(A232="","",IF(COUNTIF(A$2:A232,A232)=1,MAX(B$1:B231)+1,""))</f>
        <v/>
      </c>
      <c r="D232" s="12"/>
    </row>
    <row r="233" customFormat="false" ht="15" hidden="false" customHeight="true" outlineLevel="0" collapsed="false">
      <c r="A233" s="12" t="str">
        <f aca="false">IF(Concealed!A238="","",TRIM(Concealed!A238))</f>
        <v/>
      </c>
      <c r="B233" s="12" t="str">
        <f aca="false">IF(A233="","",IF(COUNTIF(A$2:A233,A233)=1,MAX(B$1:B232)+1,""))</f>
        <v/>
      </c>
      <c r="D233" s="12"/>
    </row>
    <row r="234" customFormat="false" ht="15" hidden="false" customHeight="true" outlineLevel="0" collapsed="false">
      <c r="A234" s="12" t="str">
        <f aca="false">IF(Concealed!A239="","",TRIM(Concealed!A239))</f>
        <v/>
      </c>
      <c r="B234" s="12" t="str">
        <f aca="false">IF(A234="","",IF(COUNTIF(A$2:A234,A234)=1,MAX(B$1:B233)+1,""))</f>
        <v/>
      </c>
      <c r="D234" s="12"/>
    </row>
    <row r="235" customFormat="false" ht="15" hidden="false" customHeight="true" outlineLevel="0" collapsed="false">
      <c r="A235" s="12" t="str">
        <f aca="false">IF(Concealed!A240="","",TRIM(Concealed!A240))</f>
        <v/>
      </c>
      <c r="B235" s="12" t="str">
        <f aca="false">IF(A235="","",IF(COUNTIF(A$2:A235,A235)=1,MAX(B$1:B234)+1,""))</f>
        <v/>
      </c>
      <c r="D235" s="12"/>
    </row>
    <row r="236" customFormat="false" ht="15" hidden="false" customHeight="true" outlineLevel="0" collapsed="false">
      <c r="A236" s="12" t="str">
        <f aca="false">IF(Concealed!A241="","",TRIM(Concealed!A241))</f>
        <v/>
      </c>
      <c r="B236" s="12" t="str">
        <f aca="false">IF(A236="","",IF(COUNTIF(A$2:A236,A236)=1,MAX(B$1:B235)+1,""))</f>
        <v/>
      </c>
      <c r="D236" s="12"/>
    </row>
    <row r="237" customFormat="false" ht="15" hidden="false" customHeight="true" outlineLevel="0" collapsed="false">
      <c r="A237" s="12" t="str">
        <f aca="false">IF(Concealed!A242="","",TRIM(Concealed!A242))</f>
        <v/>
      </c>
      <c r="B237" s="12" t="str">
        <f aca="false">IF(A237="","",IF(COUNTIF(A$2:A237,A237)=1,MAX(B$1:B236)+1,""))</f>
        <v/>
      </c>
      <c r="D237" s="12"/>
    </row>
    <row r="238" customFormat="false" ht="15" hidden="false" customHeight="true" outlineLevel="0" collapsed="false">
      <c r="A238" s="12" t="str">
        <f aca="false">IF(Concealed!A243="","",TRIM(Concealed!A243))</f>
        <v/>
      </c>
      <c r="B238" s="12" t="str">
        <f aca="false">IF(A238="","",IF(COUNTIF(A$2:A238,A238)=1,MAX(B$1:B237)+1,""))</f>
        <v/>
      </c>
      <c r="D238" s="12"/>
    </row>
    <row r="239" customFormat="false" ht="15" hidden="false" customHeight="true" outlineLevel="0" collapsed="false">
      <c r="A239" s="12" t="str">
        <f aca="false">IF(Concealed!A244="","",TRIM(Concealed!A244))</f>
        <v/>
      </c>
      <c r="B239" s="12" t="str">
        <f aca="false">IF(A239="","",IF(COUNTIF(A$2:A239,A239)=1,MAX(B$1:B238)+1,""))</f>
        <v/>
      </c>
      <c r="D239" s="12"/>
    </row>
    <row r="240" customFormat="false" ht="15" hidden="false" customHeight="true" outlineLevel="0" collapsed="false">
      <c r="A240" s="12" t="str">
        <f aca="false">IF(Concealed!A245="","",TRIM(Concealed!A245))</f>
        <v/>
      </c>
      <c r="B240" s="12" t="str">
        <f aca="false">IF(A240="","",IF(COUNTIF(A$2:A240,A240)=1,MAX(B$1:B239)+1,""))</f>
        <v/>
      </c>
      <c r="D240" s="12"/>
    </row>
    <row r="241" customFormat="false" ht="15" hidden="false" customHeight="true" outlineLevel="0" collapsed="false">
      <c r="A241" s="12" t="str">
        <f aca="false">IF(Concealed!A246="","",TRIM(Concealed!A246))</f>
        <v/>
      </c>
      <c r="B241" s="12" t="str">
        <f aca="false">IF(A241="","",IF(COUNTIF(A$2:A241,A241)=1,MAX(B$1:B240)+1,""))</f>
        <v/>
      </c>
      <c r="D241" s="12"/>
    </row>
    <row r="242" customFormat="false" ht="15" hidden="false" customHeight="true" outlineLevel="0" collapsed="false">
      <c r="A242" s="12" t="str">
        <f aca="false">IF(Concealed!A247="","",TRIM(Concealed!A247))</f>
        <v/>
      </c>
      <c r="B242" s="12" t="str">
        <f aca="false">IF(A242="","",IF(COUNTIF(A$2:A242,A242)=1,MAX(B$1:B241)+1,""))</f>
        <v/>
      </c>
      <c r="D242" s="12"/>
    </row>
    <row r="243" customFormat="false" ht="15" hidden="false" customHeight="true" outlineLevel="0" collapsed="false">
      <c r="A243" s="12" t="str">
        <f aca="false">IF(Concealed!A248="","",TRIM(Concealed!A248))</f>
        <v/>
      </c>
      <c r="B243" s="12" t="str">
        <f aca="false">IF(A243="","",IF(COUNTIF(A$2:A243,A243)=1,MAX(B$1:B242)+1,""))</f>
        <v/>
      </c>
      <c r="D243" s="12"/>
    </row>
    <row r="244" customFormat="false" ht="15" hidden="false" customHeight="true" outlineLevel="0" collapsed="false">
      <c r="A244" s="12" t="str">
        <f aca="false">IF(Concealed!A249="","",TRIM(Concealed!A249))</f>
        <v/>
      </c>
      <c r="B244" s="12" t="str">
        <f aca="false">IF(A244="","",IF(COUNTIF(A$2:A244,A244)=1,MAX(B$1:B243)+1,""))</f>
        <v/>
      </c>
      <c r="D244" s="12"/>
    </row>
    <row r="245" customFormat="false" ht="15" hidden="false" customHeight="true" outlineLevel="0" collapsed="false">
      <c r="A245" s="12" t="str">
        <f aca="false">IF(Concealed!A250="","",TRIM(Concealed!A250))</f>
        <v/>
      </c>
      <c r="B245" s="12" t="str">
        <f aca="false">IF(A245="","",IF(COUNTIF(A$2:A245,A245)=1,MAX(B$1:B244)+1,""))</f>
        <v/>
      </c>
      <c r="D245" s="12"/>
    </row>
    <row r="246" customFormat="false" ht="15" hidden="false" customHeight="true" outlineLevel="0" collapsed="false">
      <c r="A246" s="12" t="str">
        <f aca="false">IF(Concealed!A251="","",TRIM(Concealed!A251))</f>
        <v/>
      </c>
      <c r="B246" s="12" t="str">
        <f aca="false">IF(A246="","",IF(COUNTIF(A$2:A246,A246)=1,MAX(B$1:B245)+1,""))</f>
        <v/>
      </c>
      <c r="D246" s="12"/>
    </row>
    <row r="247" customFormat="false" ht="15" hidden="false" customHeight="true" outlineLevel="0" collapsed="false">
      <c r="A247" s="12" t="str">
        <f aca="false">IF(Concealed!A252="","",TRIM(Concealed!A252))</f>
        <v/>
      </c>
      <c r="B247" s="12" t="str">
        <f aca="false">IF(A247="","",IF(COUNTIF(A$2:A247,A247)=1,MAX(B$1:B246)+1,""))</f>
        <v/>
      </c>
      <c r="D247" s="12"/>
    </row>
    <row r="248" customFormat="false" ht="15" hidden="false" customHeight="true" outlineLevel="0" collapsed="false">
      <c r="A248" s="12" t="str">
        <f aca="false">IF(Concealed!A253="","",TRIM(Concealed!A253))</f>
        <v/>
      </c>
      <c r="B248" s="12" t="str">
        <f aca="false">IF(A248="","",IF(COUNTIF(A$2:A248,A248)=1,MAX(B$1:B247)+1,""))</f>
        <v/>
      </c>
      <c r="D248" s="12"/>
    </row>
    <row r="249" customFormat="false" ht="15" hidden="false" customHeight="true" outlineLevel="0" collapsed="false">
      <c r="A249" s="12" t="str">
        <f aca="false">IF(Concealed!A254="","",TRIM(Concealed!A254))</f>
        <v/>
      </c>
      <c r="B249" s="12" t="str">
        <f aca="false">IF(A249="","",IF(COUNTIF(A$2:A249,A249)=1,MAX(B$1:B248)+1,""))</f>
        <v/>
      </c>
      <c r="D249" s="12"/>
    </row>
    <row r="250" customFormat="false" ht="15" hidden="false" customHeight="true" outlineLevel="0" collapsed="false">
      <c r="A250" s="12" t="str">
        <f aca="false">IF(Concealed!A255="","",TRIM(Concealed!A255))</f>
        <v/>
      </c>
      <c r="B250" s="12" t="str">
        <f aca="false">IF(A250="","",IF(COUNTIF(A$2:A250,A250)=1,MAX(B$1:B249)+1,""))</f>
        <v/>
      </c>
      <c r="D250" s="12"/>
    </row>
    <row r="251" customFormat="false" ht="15" hidden="false" customHeight="true" outlineLevel="0" collapsed="false">
      <c r="A251" s="12" t="str">
        <f aca="false">IF(Concealed!A256="","",TRIM(Concealed!A256))</f>
        <v/>
      </c>
      <c r="B251" s="12" t="str">
        <f aca="false">IF(A251="","",IF(COUNTIF(A$2:A251,A251)=1,MAX(B$1:B250)+1,""))</f>
        <v/>
      </c>
      <c r="D251" s="12"/>
    </row>
    <row r="252" customFormat="false" ht="15" hidden="false" customHeight="true" outlineLevel="0" collapsed="false">
      <c r="A252" s="12" t="str">
        <f aca="false">IF(Concealed!A257="","",TRIM(Concealed!A257))</f>
        <v/>
      </c>
      <c r="B252" s="12" t="str">
        <f aca="false">IF(A252="","",IF(COUNTIF(A$2:A252,A252)=1,MAX(B$1:B251)+1,""))</f>
        <v/>
      </c>
      <c r="D252" s="12"/>
    </row>
    <row r="253" customFormat="false" ht="15" hidden="false" customHeight="true" outlineLevel="0" collapsed="false">
      <c r="A253" s="12" t="str">
        <f aca="false">IF(Concealed!A258="","",TRIM(Concealed!A258))</f>
        <v/>
      </c>
      <c r="B253" s="12" t="str">
        <f aca="false">IF(A253="","",IF(COUNTIF(A$2:A253,A253)=1,MAX(B$1:B252)+1,""))</f>
        <v/>
      </c>
      <c r="D253" s="12"/>
    </row>
    <row r="254" customFormat="false" ht="15" hidden="false" customHeight="true" outlineLevel="0" collapsed="false">
      <c r="A254" s="12" t="str">
        <f aca="false">IF(Concealed!A259="","",TRIM(Concealed!A259))</f>
        <v/>
      </c>
      <c r="B254" s="12" t="str">
        <f aca="false">IF(A254="","",IF(COUNTIF(A$2:A254,A254)=1,MAX(B$1:B253)+1,""))</f>
        <v/>
      </c>
      <c r="D254" s="12"/>
    </row>
    <row r="255" customFormat="false" ht="15" hidden="false" customHeight="true" outlineLevel="0" collapsed="false">
      <c r="A255" s="12" t="str">
        <f aca="false">IF(Concealed!A260="","",TRIM(Concealed!A260))</f>
        <v/>
      </c>
      <c r="B255" s="12" t="str">
        <f aca="false">IF(A255="","",IF(COUNTIF(A$2:A255,A255)=1,MAX(B$1:B254)+1,""))</f>
        <v/>
      </c>
      <c r="D255" s="12"/>
    </row>
    <row r="256" customFormat="false" ht="15" hidden="false" customHeight="true" outlineLevel="0" collapsed="false">
      <c r="A256" s="12" t="str">
        <f aca="false">IF(Concealed!A261="","",TRIM(Concealed!A261))</f>
        <v/>
      </c>
      <c r="B256" s="12" t="str">
        <f aca="false">IF(A256="","",IF(COUNTIF(A$2:A256,A256)=1,MAX(B$1:B255)+1,""))</f>
        <v/>
      </c>
      <c r="D256" s="12"/>
    </row>
    <row r="257" customFormat="false" ht="15" hidden="false" customHeight="true" outlineLevel="0" collapsed="false">
      <c r="A257" s="12" t="str">
        <f aca="false">IF(Concealed!A262="","",TRIM(Concealed!A262))</f>
        <v/>
      </c>
      <c r="B257" s="12" t="str">
        <f aca="false">IF(A257="","",IF(COUNTIF(A$2:A257,A257)=1,MAX(B$1:B256)+1,""))</f>
        <v/>
      </c>
      <c r="D257" s="12"/>
    </row>
    <row r="258" customFormat="false" ht="15" hidden="false" customHeight="true" outlineLevel="0" collapsed="false">
      <c r="A258" s="12" t="str">
        <f aca="false">IF(Concealed!A263="","",TRIM(Concealed!A263))</f>
        <v/>
      </c>
      <c r="B258" s="12" t="str">
        <f aca="false">IF(A258="","",IF(COUNTIF(A$2:A258,A258)=1,MAX(B$1:B257)+1,""))</f>
        <v/>
      </c>
      <c r="D258" s="12"/>
    </row>
    <row r="259" customFormat="false" ht="15" hidden="false" customHeight="true" outlineLevel="0" collapsed="false">
      <c r="A259" s="12" t="str">
        <f aca="false">IF(Concealed!A264="","",TRIM(Concealed!A264))</f>
        <v/>
      </c>
      <c r="B259" s="12" t="str">
        <f aca="false">IF(A259="","",IF(COUNTIF(A$2:A259,A259)=1,MAX(B$1:B258)+1,""))</f>
        <v/>
      </c>
      <c r="D259" s="12"/>
    </row>
    <row r="260" customFormat="false" ht="15" hidden="false" customHeight="true" outlineLevel="0" collapsed="false">
      <c r="A260" s="12" t="str">
        <f aca="false">IF(Concealed!A265="","",TRIM(Concealed!A265))</f>
        <v/>
      </c>
      <c r="B260" s="12" t="str">
        <f aca="false">IF(A260="","",IF(COUNTIF(A$2:A260,A260)=1,MAX(B$1:B259)+1,""))</f>
        <v/>
      </c>
      <c r="D260" s="12"/>
    </row>
    <row r="261" customFormat="false" ht="15" hidden="false" customHeight="true" outlineLevel="0" collapsed="false">
      <c r="A261" s="12" t="str">
        <f aca="false">IF(Concealed!A266="","",TRIM(Concealed!A266))</f>
        <v/>
      </c>
      <c r="B261" s="12" t="str">
        <f aca="false">IF(A261="","",IF(COUNTIF(A$2:A261,A261)=1,MAX(B$1:B260)+1,""))</f>
        <v/>
      </c>
      <c r="D261" s="12"/>
    </row>
    <row r="262" customFormat="false" ht="15" hidden="false" customHeight="true" outlineLevel="0" collapsed="false">
      <c r="A262" s="12" t="str">
        <f aca="false">IF(Concealed!A267="","",TRIM(Concealed!A267))</f>
        <v/>
      </c>
      <c r="B262" s="12" t="str">
        <f aca="false">IF(A262="","",IF(COUNTIF(A$2:A262,A262)=1,MAX(B$1:B261)+1,""))</f>
        <v/>
      </c>
      <c r="D262" s="12"/>
    </row>
    <row r="263" customFormat="false" ht="15" hidden="false" customHeight="true" outlineLevel="0" collapsed="false">
      <c r="A263" s="12" t="str">
        <f aca="false">IF(Concealed!A268="","",TRIM(Concealed!A268))</f>
        <v/>
      </c>
      <c r="B263" s="12" t="str">
        <f aca="false">IF(A263="","",IF(COUNTIF(A$2:A263,A263)=1,MAX(B$1:B262)+1,""))</f>
        <v/>
      </c>
      <c r="D263" s="12"/>
    </row>
    <row r="264" customFormat="false" ht="15" hidden="false" customHeight="true" outlineLevel="0" collapsed="false">
      <c r="A264" s="12" t="str">
        <f aca="false">IF(Concealed!A269="","",TRIM(Concealed!A269))</f>
        <v/>
      </c>
      <c r="B264" s="12" t="str">
        <f aca="false">IF(A264="","",IF(COUNTIF(A$2:A264,A264)=1,MAX(B$1:B263)+1,""))</f>
        <v/>
      </c>
      <c r="D264" s="12"/>
    </row>
    <row r="265" customFormat="false" ht="15" hidden="false" customHeight="true" outlineLevel="0" collapsed="false">
      <c r="A265" s="12" t="str">
        <f aca="false">IF(Concealed!A270="","",TRIM(Concealed!A270))</f>
        <v/>
      </c>
      <c r="B265" s="12" t="str">
        <f aca="false">IF(A265="","",IF(COUNTIF(A$2:A265,A265)=1,MAX(B$1:B264)+1,""))</f>
        <v/>
      </c>
      <c r="D265" s="12"/>
    </row>
    <row r="266" customFormat="false" ht="15" hidden="false" customHeight="true" outlineLevel="0" collapsed="false">
      <c r="A266" s="12" t="str">
        <f aca="false">IF(Concealed!A271="","",TRIM(Concealed!A271))</f>
        <v/>
      </c>
      <c r="B266" s="12" t="str">
        <f aca="false">IF(A266="","",IF(COUNTIF(A$2:A266,A266)=1,MAX(B$1:B265)+1,""))</f>
        <v/>
      </c>
      <c r="D266" s="12"/>
    </row>
    <row r="267" customFormat="false" ht="15" hidden="false" customHeight="true" outlineLevel="0" collapsed="false">
      <c r="A267" s="12" t="str">
        <f aca="false">IF(Concealed!A272="","",TRIM(Concealed!A272))</f>
        <v/>
      </c>
      <c r="B267" s="12" t="str">
        <f aca="false">IF(A267="","",IF(COUNTIF(A$2:A267,A267)=1,MAX(B$1:B266)+1,""))</f>
        <v/>
      </c>
      <c r="D267" s="12"/>
    </row>
    <row r="268" customFormat="false" ht="15" hidden="false" customHeight="true" outlineLevel="0" collapsed="false">
      <c r="A268" s="12" t="str">
        <f aca="false">IF(Concealed!A273="","",TRIM(Concealed!A273))</f>
        <v/>
      </c>
      <c r="B268" s="12" t="str">
        <f aca="false">IF(A268="","",IF(COUNTIF(A$2:A268,A268)=1,MAX(B$1:B267)+1,""))</f>
        <v/>
      </c>
      <c r="D268" s="12"/>
    </row>
    <row r="269" customFormat="false" ht="15" hidden="false" customHeight="true" outlineLevel="0" collapsed="false">
      <c r="A269" s="12" t="str">
        <f aca="false">IF(Concealed!A274="","",TRIM(Concealed!A274))</f>
        <v/>
      </c>
      <c r="B269" s="12" t="str">
        <f aca="false">IF(A269="","",IF(COUNTIF(A$2:A269,A269)=1,MAX(B$1:B268)+1,""))</f>
        <v/>
      </c>
      <c r="D269" s="12"/>
    </row>
    <row r="270" customFormat="false" ht="15" hidden="false" customHeight="true" outlineLevel="0" collapsed="false">
      <c r="A270" s="12" t="str">
        <f aca="false">IF(Concealed!A275="","",TRIM(Concealed!A275))</f>
        <v/>
      </c>
      <c r="B270" s="12" t="str">
        <f aca="false">IF(A270="","",IF(COUNTIF(A$2:A270,A270)=1,MAX(B$1:B269)+1,""))</f>
        <v/>
      </c>
      <c r="D270" s="12"/>
    </row>
    <row r="271" customFormat="false" ht="15" hidden="false" customHeight="true" outlineLevel="0" collapsed="false">
      <c r="A271" s="12" t="str">
        <f aca="false">IF(Concealed!A276="","",TRIM(Concealed!A276))</f>
        <v/>
      </c>
      <c r="B271" s="12" t="str">
        <f aca="false">IF(A271="","",IF(COUNTIF(A$2:A271,A271)=1,MAX(B$1:B270)+1,""))</f>
        <v/>
      </c>
      <c r="D271" s="12"/>
    </row>
    <row r="272" customFormat="false" ht="15" hidden="false" customHeight="true" outlineLevel="0" collapsed="false">
      <c r="A272" s="12" t="str">
        <f aca="false">IF(Concealed!A277="","",TRIM(Concealed!A277))</f>
        <v/>
      </c>
      <c r="B272" s="12" t="str">
        <f aca="false">IF(A272="","",IF(COUNTIF(A$2:A272,A272)=1,MAX(B$1:B271)+1,""))</f>
        <v/>
      </c>
      <c r="D272" s="12"/>
    </row>
    <row r="273" customFormat="false" ht="15" hidden="false" customHeight="true" outlineLevel="0" collapsed="false">
      <c r="A273" s="12" t="str">
        <f aca="false">IF(Concealed!A278="","",TRIM(Concealed!A278))</f>
        <v/>
      </c>
      <c r="B273" s="12" t="str">
        <f aca="false">IF(A273="","",IF(COUNTIF(A$2:A273,A273)=1,MAX(B$1:B272)+1,""))</f>
        <v/>
      </c>
      <c r="D273" s="12"/>
    </row>
    <row r="274" customFormat="false" ht="15" hidden="false" customHeight="true" outlineLevel="0" collapsed="false">
      <c r="A274" s="12" t="str">
        <f aca="false">IF(Concealed!A279="","",TRIM(Concealed!A279))</f>
        <v/>
      </c>
      <c r="B274" s="12" t="str">
        <f aca="false">IF(A274="","",IF(COUNTIF(A$2:A274,A274)=1,MAX(B$1:B273)+1,""))</f>
        <v/>
      </c>
      <c r="D274" s="12"/>
    </row>
    <row r="275" customFormat="false" ht="15" hidden="false" customHeight="true" outlineLevel="0" collapsed="false">
      <c r="A275" s="12" t="str">
        <f aca="false">IF(Concealed!A280="","",TRIM(Concealed!A280))</f>
        <v/>
      </c>
      <c r="B275" s="12" t="str">
        <f aca="false">IF(A275="","",IF(COUNTIF(A$2:A275,A275)=1,MAX(B$1:B274)+1,""))</f>
        <v/>
      </c>
      <c r="D275" s="12"/>
    </row>
    <row r="276" customFormat="false" ht="15" hidden="false" customHeight="true" outlineLevel="0" collapsed="false">
      <c r="A276" s="12" t="str">
        <f aca="false">IF(Concealed!A281="","",TRIM(Concealed!A281))</f>
        <v/>
      </c>
      <c r="B276" s="12" t="str">
        <f aca="false">IF(A276="","",IF(COUNTIF(A$2:A276,A276)=1,MAX(B$1:B275)+1,""))</f>
        <v/>
      </c>
      <c r="D276" s="12"/>
    </row>
    <row r="277" customFormat="false" ht="15" hidden="false" customHeight="true" outlineLevel="0" collapsed="false">
      <c r="A277" s="12" t="str">
        <f aca="false">IF(Concealed!A282="","",TRIM(Concealed!A282))</f>
        <v/>
      </c>
      <c r="B277" s="12" t="str">
        <f aca="false">IF(A277="","",IF(COUNTIF(A$2:A277,A277)=1,MAX(B$1:B276)+1,""))</f>
        <v/>
      </c>
      <c r="D277" s="12"/>
    </row>
    <row r="278" customFormat="false" ht="15" hidden="false" customHeight="true" outlineLevel="0" collapsed="false">
      <c r="A278" s="12" t="str">
        <f aca="false">IF(Concealed!A283="","",TRIM(Concealed!A283))</f>
        <v/>
      </c>
      <c r="B278" s="12" t="str">
        <f aca="false">IF(A278="","",IF(COUNTIF(A$2:A278,A278)=1,MAX(B$1:B277)+1,""))</f>
        <v/>
      </c>
      <c r="D278" s="12"/>
    </row>
    <row r="279" customFormat="false" ht="15" hidden="false" customHeight="true" outlineLevel="0" collapsed="false">
      <c r="A279" s="12" t="str">
        <f aca="false">IF(Concealed!A284="","",TRIM(Concealed!A284))</f>
        <v/>
      </c>
      <c r="B279" s="12" t="str">
        <f aca="false">IF(A279="","",IF(COUNTIF(A$2:A279,A279)=1,MAX(B$1:B278)+1,""))</f>
        <v/>
      </c>
      <c r="D279" s="12"/>
    </row>
    <row r="280" customFormat="false" ht="15" hidden="false" customHeight="true" outlineLevel="0" collapsed="false">
      <c r="A280" s="12" t="str">
        <f aca="false">IF(Concealed!A285="","",TRIM(Concealed!A285))</f>
        <v/>
      </c>
      <c r="B280" s="12" t="str">
        <f aca="false">IF(A280="","",IF(COUNTIF(A$2:A280,A280)=1,MAX(B$1:B279)+1,""))</f>
        <v/>
      </c>
      <c r="D280" s="12"/>
    </row>
    <row r="281" customFormat="false" ht="15" hidden="false" customHeight="true" outlineLevel="0" collapsed="false">
      <c r="A281" s="12" t="str">
        <f aca="false">IF(Concealed!A286="","",TRIM(Concealed!A286))</f>
        <v/>
      </c>
      <c r="B281" s="12" t="str">
        <f aca="false">IF(A281="","",IF(COUNTIF(A$2:A281,A281)=1,MAX(B$1:B280)+1,""))</f>
        <v/>
      </c>
      <c r="D281" s="12"/>
    </row>
    <row r="282" customFormat="false" ht="15" hidden="false" customHeight="true" outlineLevel="0" collapsed="false">
      <c r="A282" s="12" t="str">
        <f aca="false">IF(Concealed!A287="","",TRIM(Concealed!A287))</f>
        <v/>
      </c>
      <c r="B282" s="12" t="str">
        <f aca="false">IF(A282="","",IF(COUNTIF(A$2:A282,A282)=1,MAX(B$1:B281)+1,""))</f>
        <v/>
      </c>
      <c r="D282" s="12"/>
    </row>
    <row r="283" customFormat="false" ht="15" hidden="false" customHeight="true" outlineLevel="0" collapsed="false">
      <c r="A283" s="12" t="str">
        <f aca="false">IF(Concealed!A288="","",TRIM(Concealed!A288))</f>
        <v/>
      </c>
      <c r="B283" s="12" t="str">
        <f aca="false">IF(A283="","",IF(COUNTIF(A$2:A283,A283)=1,MAX(B$1:B282)+1,""))</f>
        <v/>
      </c>
      <c r="D283" s="12"/>
    </row>
    <row r="284" customFormat="false" ht="15" hidden="false" customHeight="true" outlineLevel="0" collapsed="false">
      <c r="A284" s="12" t="str">
        <f aca="false">IF(Concealed!A289="","",TRIM(Concealed!A289))</f>
        <v/>
      </c>
      <c r="B284" s="12" t="str">
        <f aca="false">IF(A284="","",IF(COUNTIF(A$2:A284,A284)=1,MAX(B$1:B283)+1,""))</f>
        <v/>
      </c>
      <c r="D284" s="12"/>
    </row>
    <row r="285" customFormat="false" ht="15" hidden="false" customHeight="true" outlineLevel="0" collapsed="false">
      <c r="A285" s="12" t="str">
        <f aca="false">IF(Concealed!A290="","",TRIM(Concealed!A290))</f>
        <v/>
      </c>
      <c r="B285" s="12" t="str">
        <f aca="false">IF(A285="","",IF(COUNTIF(A$2:A285,A285)=1,MAX(B$1:B284)+1,""))</f>
        <v/>
      </c>
      <c r="D285" s="12"/>
    </row>
    <row r="286" customFormat="false" ht="15" hidden="false" customHeight="true" outlineLevel="0" collapsed="false">
      <c r="A286" s="12" t="str">
        <f aca="false">IF(Concealed!A291="","",TRIM(Concealed!A291))</f>
        <v/>
      </c>
      <c r="B286" s="12" t="str">
        <f aca="false">IF(A286="","",IF(COUNTIF(A$2:A286,A286)=1,MAX(B$1:B285)+1,""))</f>
        <v/>
      </c>
      <c r="D286" s="12"/>
    </row>
    <row r="287" customFormat="false" ht="15" hidden="false" customHeight="true" outlineLevel="0" collapsed="false">
      <c r="A287" s="12" t="str">
        <f aca="false">IF(Concealed!A292="","",TRIM(Concealed!A292))</f>
        <v/>
      </c>
      <c r="B287" s="12" t="str">
        <f aca="false">IF(A287="","",IF(COUNTIF(A$2:A287,A287)=1,MAX(B$1:B286)+1,""))</f>
        <v/>
      </c>
      <c r="D287" s="12"/>
    </row>
    <row r="288" customFormat="false" ht="15" hidden="false" customHeight="true" outlineLevel="0" collapsed="false">
      <c r="A288" s="12" t="str">
        <f aca="false">IF(Concealed!A293="","",TRIM(Concealed!A293))</f>
        <v/>
      </c>
      <c r="B288" s="12" t="str">
        <f aca="false">IF(A288="","",IF(COUNTIF(A$2:A288,A288)=1,MAX(B$1:B287)+1,""))</f>
        <v/>
      </c>
      <c r="D288" s="12"/>
    </row>
    <row r="289" customFormat="false" ht="15" hidden="false" customHeight="true" outlineLevel="0" collapsed="false">
      <c r="A289" s="12" t="str">
        <f aca="false">IF(Concealed!A294="","",TRIM(Concealed!A294))</f>
        <v/>
      </c>
      <c r="B289" s="12" t="str">
        <f aca="false">IF(A289="","",IF(COUNTIF(A$2:A289,A289)=1,MAX(B$1:B288)+1,""))</f>
        <v/>
      </c>
      <c r="D289" s="12"/>
    </row>
    <row r="290" customFormat="false" ht="15" hidden="false" customHeight="true" outlineLevel="0" collapsed="false">
      <c r="A290" s="12" t="str">
        <f aca="false">IF(Concealed!A295="","",TRIM(Concealed!A295))</f>
        <v/>
      </c>
      <c r="B290" s="12" t="str">
        <f aca="false">IF(A290="","",IF(COUNTIF(A$2:A290,A290)=1,MAX(B$1:B289)+1,""))</f>
        <v/>
      </c>
      <c r="D290" s="12"/>
    </row>
    <row r="291" customFormat="false" ht="15" hidden="false" customHeight="true" outlineLevel="0" collapsed="false">
      <c r="A291" s="12" t="str">
        <f aca="false">IF(Concealed!A296="","",TRIM(Concealed!A296))</f>
        <v/>
      </c>
      <c r="B291" s="12" t="str">
        <f aca="false">IF(A291="","",IF(COUNTIF(A$2:A291,A291)=1,MAX(B$1:B290)+1,""))</f>
        <v/>
      </c>
      <c r="D291" s="12"/>
    </row>
    <row r="292" customFormat="false" ht="15" hidden="false" customHeight="true" outlineLevel="0" collapsed="false">
      <c r="A292" s="12" t="str">
        <f aca="false">IF(Concealed!A297="","",TRIM(Concealed!A297))</f>
        <v/>
      </c>
      <c r="B292" s="12" t="str">
        <f aca="false">IF(A292="","",IF(COUNTIF(A$2:A292,A292)=1,MAX(B$1:B291)+1,""))</f>
        <v/>
      </c>
      <c r="D292" s="12"/>
    </row>
    <row r="293" customFormat="false" ht="15" hidden="false" customHeight="true" outlineLevel="0" collapsed="false">
      <c r="A293" s="12" t="str">
        <f aca="false">IF(Concealed!A298="","",TRIM(Concealed!A298))</f>
        <v/>
      </c>
      <c r="B293" s="12" t="str">
        <f aca="false">IF(A293="","",IF(COUNTIF(A$2:A293,A293)=1,MAX(B$1:B292)+1,""))</f>
        <v/>
      </c>
      <c r="D293" s="12"/>
    </row>
    <row r="294" customFormat="false" ht="15" hidden="false" customHeight="true" outlineLevel="0" collapsed="false">
      <c r="A294" s="12" t="str">
        <f aca="false">IF(Concealed!A299="","",TRIM(Concealed!A299))</f>
        <v/>
      </c>
      <c r="B294" s="12" t="str">
        <f aca="false">IF(A294="","",IF(COUNTIF(A$2:A294,A294)=1,MAX(B$1:B293)+1,""))</f>
        <v/>
      </c>
      <c r="D294" s="12"/>
    </row>
    <row r="295" customFormat="false" ht="15" hidden="false" customHeight="true" outlineLevel="0" collapsed="false">
      <c r="A295" s="12" t="str">
        <f aca="false">IF(Concealed!A300="","",TRIM(Concealed!A300))</f>
        <v/>
      </c>
      <c r="B295" s="12" t="str">
        <f aca="false">IF(A295="","",IF(COUNTIF(A$2:A295,A295)=1,MAX(B$1:B294)+1,""))</f>
        <v/>
      </c>
      <c r="D295" s="12"/>
    </row>
    <row r="296" customFormat="false" ht="15" hidden="false" customHeight="true" outlineLevel="0" collapsed="false">
      <c r="A296" s="12" t="str">
        <f aca="false">IF(Concealed!A301="","",TRIM(Concealed!A301))</f>
        <v/>
      </c>
      <c r="B296" s="12" t="str">
        <f aca="false">IF(A296="","",IF(COUNTIF(A$2:A296,A296)=1,MAX(B$1:B295)+1,""))</f>
        <v/>
      </c>
      <c r="D296" s="12"/>
    </row>
    <row r="297" customFormat="false" ht="15" hidden="false" customHeight="true" outlineLevel="0" collapsed="false">
      <c r="A297" s="12" t="str">
        <f aca="false">IF(Concealed!A302="","",TRIM(Concealed!A302))</f>
        <v/>
      </c>
      <c r="B297" s="12" t="str">
        <f aca="false">IF(A297="","",IF(COUNTIF(A$2:A297,A297)=1,MAX(B$1:B296)+1,""))</f>
        <v/>
      </c>
      <c r="D297" s="12"/>
    </row>
    <row r="298" customFormat="false" ht="15" hidden="false" customHeight="true" outlineLevel="0" collapsed="false">
      <c r="A298" s="12" t="str">
        <f aca="false">IF(Concealed!A303="","",TRIM(Concealed!A303))</f>
        <v/>
      </c>
      <c r="B298" s="12" t="str">
        <f aca="false">IF(A298="","",IF(COUNTIF(A$2:A298,A298)=1,MAX(B$1:B297)+1,""))</f>
        <v/>
      </c>
      <c r="D298" s="12"/>
    </row>
    <row r="299" customFormat="false" ht="15" hidden="false" customHeight="true" outlineLevel="0" collapsed="false">
      <c r="A299" s="12" t="str">
        <f aca="false">IF(Concealed!A304="","",TRIM(Concealed!A304))</f>
        <v/>
      </c>
      <c r="B299" s="12" t="str">
        <f aca="false">IF(A299="","",IF(COUNTIF(A$2:A299,A299)=1,MAX(B$1:B298)+1,""))</f>
        <v/>
      </c>
      <c r="D299" s="12"/>
    </row>
    <row r="300" customFormat="false" ht="15" hidden="false" customHeight="true" outlineLevel="0" collapsed="false">
      <c r="A300" s="12" t="str">
        <f aca="false">IF(Concealed!A305="","",TRIM(Concealed!A305))</f>
        <v/>
      </c>
      <c r="B300" s="12" t="str">
        <f aca="false">IF(A300="","",IF(COUNTIF(A$2:A300,A300)=1,MAX(B$1:B299)+1,""))</f>
        <v/>
      </c>
      <c r="D300" s="12"/>
    </row>
    <row r="301" customFormat="false" ht="15" hidden="false" customHeight="true" outlineLevel="0" collapsed="false">
      <c r="A301" s="12" t="str">
        <f aca="false">IF(Concealed!A306="","",TRIM(Concealed!A306))</f>
        <v/>
      </c>
      <c r="B301" s="12" t="str">
        <f aca="false">IF(A301="","",IF(COUNTIF(A$2:A301,A301)=1,MAX(B$1:B300)+1,""))</f>
        <v/>
      </c>
      <c r="D301" s="12"/>
    </row>
    <row r="302" customFormat="false" ht="15" hidden="false" customHeight="true" outlineLevel="0" collapsed="false">
      <c r="A302" s="12" t="str">
        <f aca="false">IF(Ducted!A7="","",TRIM(Ducted!A7))</f>
        <v>تهویه</v>
      </c>
      <c r="B302" s="12" t="str">
        <f aca="false">IF(A302="","",IF(COUNTIF(A$2:A302,A302)=1,MAX(B$1:B301)+1,""))</f>
        <v/>
      </c>
      <c r="D302" s="12"/>
    </row>
    <row r="303" customFormat="false" ht="15" hidden="false" customHeight="true" outlineLevel="0" collapsed="false">
      <c r="A303" s="12" t="str">
        <f aca="false">IF(Ducted!A8="","",TRIM(Ducted!A8))</f>
        <v>تهویه</v>
      </c>
      <c r="B303" s="12" t="str">
        <f aca="false">IF(A303="","",IF(COUNTIF(A$2:A303,A303)=1,MAX(B$1:B302)+1,""))</f>
        <v/>
      </c>
      <c r="D303" s="12"/>
    </row>
    <row r="304" customFormat="false" ht="15" hidden="false" customHeight="true" outlineLevel="0" collapsed="false">
      <c r="A304" s="12" t="str">
        <f aca="false">IF(Ducted!A9="","",TRIM(Ducted!A9))</f>
        <v>تهویه</v>
      </c>
      <c r="B304" s="12" t="str">
        <f aca="false">IF(A304="","",IF(COUNTIF(A$2:A304,A304)=1,MAX(B$1:B303)+1,""))</f>
        <v/>
      </c>
      <c r="D304" s="12"/>
    </row>
    <row r="305" customFormat="false" ht="15" hidden="false" customHeight="true" outlineLevel="0" collapsed="false">
      <c r="A305" s="12" t="str">
        <f aca="false">IF(Ducted!A10="","",TRIM(Ducted!A10))</f>
        <v>تهویه</v>
      </c>
      <c r="B305" s="12" t="str">
        <f aca="false">IF(A305="","",IF(COUNTIF(A$2:A305,A305)=1,MAX(B$1:B304)+1,""))</f>
        <v/>
      </c>
      <c r="D305" s="12"/>
    </row>
    <row r="306" customFormat="false" ht="15" hidden="false" customHeight="true" outlineLevel="0" collapsed="false">
      <c r="A306" s="12" t="str">
        <f aca="false">IF(Ducted!A11="","",TRIM(Ducted!A11))</f>
        <v>تهویه</v>
      </c>
      <c r="B306" s="12" t="str">
        <f aca="false">IF(A306="","",IF(COUNTIF(A$2:A306,A306)=1,MAX(B$1:B305)+1,""))</f>
        <v/>
      </c>
      <c r="D306" s="12"/>
    </row>
    <row r="307" customFormat="false" ht="15" hidden="false" customHeight="true" outlineLevel="0" collapsed="false">
      <c r="A307" s="12" t="str">
        <f aca="false">IF(Ducted!A12="","",TRIM(Ducted!A12))</f>
        <v>تهویه</v>
      </c>
      <c r="B307" s="12" t="str">
        <f aca="false">IF(A307="","",IF(COUNTIF(A$2:A307,A307)=1,MAX(B$1:B306)+1,""))</f>
        <v/>
      </c>
      <c r="D307" s="12"/>
    </row>
    <row r="308" customFormat="false" ht="15" hidden="false" customHeight="true" outlineLevel="0" collapsed="false">
      <c r="A308" s="12" t="str">
        <f aca="false">IF(Ducted!A13="","",TRIM(Ducted!A13))</f>
        <v>تهویه</v>
      </c>
      <c r="B308" s="12" t="str">
        <f aca="false">IF(A308="","",IF(COUNTIF(A$2:A308,A308)=1,MAX(B$1:B307)+1,""))</f>
        <v/>
      </c>
      <c r="D308" s="12"/>
    </row>
    <row r="309" customFormat="false" ht="15" hidden="false" customHeight="true" outlineLevel="0" collapsed="false">
      <c r="A309" s="12" t="str">
        <f aca="false">IF(Ducted!A14="","",TRIM(Ducted!A14))</f>
        <v>تهویه</v>
      </c>
      <c r="B309" s="12" t="str">
        <f aca="false">IF(A309="","",IF(COUNTIF(A$2:A309,A309)=1,MAX(B$1:B308)+1,""))</f>
        <v/>
      </c>
      <c r="D309" s="12"/>
    </row>
    <row r="310" customFormat="false" ht="15" hidden="false" customHeight="true" outlineLevel="0" collapsed="false">
      <c r="A310" s="12" t="str">
        <f aca="false">IF(Ducted!A15="","",TRIM(Ducted!A15))</f>
        <v>تهویه</v>
      </c>
      <c r="B310" s="12" t="str">
        <f aca="false">IF(A310="","",IF(COUNTIF(A$2:A310,A310)=1,MAX(B$1:B309)+1,""))</f>
        <v/>
      </c>
      <c r="D310" s="12"/>
    </row>
    <row r="311" customFormat="false" ht="15" hidden="false" customHeight="true" outlineLevel="0" collapsed="false">
      <c r="A311" s="12" t="str">
        <f aca="false">IF(Ducted!A16="","",TRIM(Ducted!A16))</f>
        <v/>
      </c>
      <c r="B311" s="12" t="str">
        <f aca="false">IF(A311="","",IF(COUNTIF(A$2:A311,A311)=1,MAX(B$1:B310)+1,""))</f>
        <v/>
      </c>
      <c r="D311" s="12"/>
    </row>
    <row r="312" customFormat="false" ht="15" hidden="false" customHeight="true" outlineLevel="0" collapsed="false">
      <c r="A312" s="12" t="str">
        <f aca="false">IF(Ducted!A17="","",TRIM(Ducted!A17))</f>
        <v/>
      </c>
      <c r="B312" s="12" t="str">
        <f aca="false">IF(A312="","",IF(COUNTIF(A$2:A312,A312)=1,MAX(B$1:B311)+1,""))</f>
        <v/>
      </c>
      <c r="D312" s="12"/>
    </row>
    <row r="313" customFormat="false" ht="15" hidden="false" customHeight="true" outlineLevel="0" collapsed="false">
      <c r="A313" s="12" t="str">
        <f aca="false">IF(Ducted!A18="","",TRIM(Ducted!A18))</f>
        <v/>
      </c>
      <c r="B313" s="12" t="str">
        <f aca="false">IF(A313="","",IF(COUNTIF(A$2:A313,A313)=1,MAX(B$1:B312)+1,""))</f>
        <v/>
      </c>
      <c r="D313" s="12"/>
    </row>
    <row r="314" customFormat="false" ht="15" hidden="false" customHeight="true" outlineLevel="0" collapsed="false">
      <c r="A314" s="12" t="str">
        <f aca="false">IF(Ducted!A19="","",TRIM(Ducted!A19))</f>
        <v/>
      </c>
      <c r="B314" s="12" t="str">
        <f aca="false">IF(A314="","",IF(COUNTIF(A$2:A314,A314)=1,MAX(B$1:B313)+1,""))</f>
        <v/>
      </c>
      <c r="D314" s="12"/>
    </row>
    <row r="315" customFormat="false" ht="15" hidden="false" customHeight="true" outlineLevel="0" collapsed="false">
      <c r="A315" s="12" t="str">
        <f aca="false">IF(Ducted!A20="","",TRIM(Ducted!A20))</f>
        <v/>
      </c>
      <c r="B315" s="12" t="str">
        <f aca="false">IF(A315="","",IF(COUNTIF(A$2:A315,A315)=1,MAX(B$1:B314)+1,""))</f>
        <v/>
      </c>
      <c r="D315" s="12"/>
    </row>
    <row r="316" customFormat="false" ht="15" hidden="false" customHeight="true" outlineLevel="0" collapsed="false">
      <c r="A316" s="12" t="str">
        <f aca="false">IF(Ducted!A21="","",TRIM(Ducted!A21))</f>
        <v/>
      </c>
      <c r="B316" s="12" t="str">
        <f aca="false">IF(A316="","",IF(COUNTIF(A$2:A316,A316)=1,MAX(B$1:B315)+1,""))</f>
        <v/>
      </c>
      <c r="D316" s="12"/>
    </row>
    <row r="317" customFormat="false" ht="15" hidden="false" customHeight="true" outlineLevel="0" collapsed="false">
      <c r="A317" s="12" t="str">
        <f aca="false">IF(Ducted!A22="","",TRIM(Ducted!A22))</f>
        <v/>
      </c>
      <c r="B317" s="12" t="str">
        <f aca="false">IF(A317="","",IF(COUNTIF(A$2:A317,A317)=1,MAX(B$1:B316)+1,""))</f>
        <v/>
      </c>
      <c r="D317" s="12"/>
    </row>
    <row r="318" customFormat="false" ht="15" hidden="false" customHeight="true" outlineLevel="0" collapsed="false">
      <c r="A318" s="12" t="str">
        <f aca="false">IF(Ducted!A23="","",TRIM(Ducted!A23))</f>
        <v/>
      </c>
      <c r="B318" s="12" t="str">
        <f aca="false">IF(A318="","",IF(COUNTIF(A$2:A318,A318)=1,MAX(B$1:B317)+1,""))</f>
        <v/>
      </c>
      <c r="D318" s="12"/>
    </row>
    <row r="319" customFormat="false" ht="15" hidden="false" customHeight="true" outlineLevel="0" collapsed="false">
      <c r="A319" s="12" t="str">
        <f aca="false">IF(Ducted!A24="","",TRIM(Ducted!A24))</f>
        <v/>
      </c>
      <c r="B319" s="12" t="str">
        <f aca="false">IF(A319="","",IF(COUNTIF(A$2:A319,A319)=1,MAX(B$1:B318)+1,""))</f>
        <v/>
      </c>
      <c r="D319" s="12"/>
    </row>
    <row r="320" customFormat="false" ht="15" hidden="false" customHeight="true" outlineLevel="0" collapsed="false">
      <c r="A320" s="12" t="str">
        <f aca="false">IF(Ducted!A25="","",TRIM(Ducted!A25))</f>
        <v/>
      </c>
      <c r="B320" s="12" t="str">
        <f aca="false">IF(A320="","",IF(COUNTIF(A$2:A320,A320)=1,MAX(B$1:B319)+1,""))</f>
        <v/>
      </c>
      <c r="D320" s="12"/>
    </row>
    <row r="321" customFormat="false" ht="15" hidden="false" customHeight="true" outlineLevel="0" collapsed="false">
      <c r="A321" s="12" t="str">
        <f aca="false">IF(Ducted!A26="","",TRIM(Ducted!A26))</f>
        <v/>
      </c>
      <c r="B321" s="12" t="str">
        <f aca="false">IF(A321="","",IF(COUNTIF(A$2:A321,A321)=1,MAX(B$1:B320)+1,""))</f>
        <v/>
      </c>
      <c r="D321" s="12"/>
    </row>
    <row r="322" customFormat="false" ht="15" hidden="false" customHeight="true" outlineLevel="0" collapsed="false">
      <c r="A322" s="12" t="str">
        <f aca="false">IF(Ducted!A27="","",TRIM(Ducted!A27))</f>
        <v/>
      </c>
      <c r="B322" s="12" t="str">
        <f aca="false">IF(A322="","",IF(COUNTIF(A$2:A322,A322)=1,MAX(B$1:B321)+1,""))</f>
        <v/>
      </c>
      <c r="D322" s="12"/>
    </row>
    <row r="323" customFormat="false" ht="15" hidden="false" customHeight="true" outlineLevel="0" collapsed="false">
      <c r="A323" s="12" t="str">
        <f aca="false">IF(Ducted!A28="","",TRIM(Ducted!A28))</f>
        <v/>
      </c>
      <c r="B323" s="12" t="str">
        <f aca="false">IF(A323="","",IF(COUNTIF(A$2:A323,A323)=1,MAX(B$1:B322)+1,""))</f>
        <v/>
      </c>
      <c r="D323" s="12"/>
    </row>
    <row r="324" customFormat="false" ht="15" hidden="false" customHeight="true" outlineLevel="0" collapsed="false">
      <c r="A324" s="12" t="str">
        <f aca="false">IF(Ducted!A29="","",TRIM(Ducted!A29))</f>
        <v/>
      </c>
      <c r="B324" s="12" t="str">
        <f aca="false">IF(A324="","",IF(COUNTIF(A$2:A324,A324)=1,MAX(B$1:B323)+1,""))</f>
        <v/>
      </c>
      <c r="D324" s="12"/>
    </row>
    <row r="325" customFormat="false" ht="15" hidden="false" customHeight="true" outlineLevel="0" collapsed="false">
      <c r="A325" s="12" t="str">
        <f aca="false">IF(Ducted!A30="","",TRIM(Ducted!A30))</f>
        <v/>
      </c>
      <c r="B325" s="12" t="str">
        <f aca="false">IF(A325="","",IF(COUNTIF(A$2:A325,A325)=1,MAX(B$1:B324)+1,""))</f>
        <v/>
      </c>
      <c r="D325" s="12"/>
    </row>
    <row r="326" customFormat="false" ht="15" hidden="false" customHeight="true" outlineLevel="0" collapsed="false">
      <c r="A326" s="12" t="str">
        <f aca="false">IF(Ducted!A31="","",TRIM(Ducted!A31))</f>
        <v/>
      </c>
      <c r="B326" s="12" t="str">
        <f aca="false">IF(A326="","",IF(COUNTIF(A$2:A326,A326)=1,MAX(B$1:B325)+1,""))</f>
        <v/>
      </c>
      <c r="D326" s="12"/>
    </row>
    <row r="327" customFormat="false" ht="15" hidden="false" customHeight="true" outlineLevel="0" collapsed="false">
      <c r="A327" s="12" t="str">
        <f aca="false">IF(Ducted!A32="","",TRIM(Ducted!A32))</f>
        <v/>
      </c>
      <c r="B327" s="12" t="str">
        <f aca="false">IF(A327="","",IF(COUNTIF(A$2:A327,A327)=1,MAX(B$1:B326)+1,""))</f>
        <v/>
      </c>
      <c r="D327" s="12"/>
    </row>
    <row r="328" customFormat="false" ht="15" hidden="false" customHeight="true" outlineLevel="0" collapsed="false">
      <c r="A328" s="12" t="str">
        <f aca="false">IF(Ducted!A33="","",TRIM(Ducted!A33))</f>
        <v/>
      </c>
      <c r="B328" s="12" t="str">
        <f aca="false">IF(A328="","",IF(COUNTIF(A$2:A328,A328)=1,MAX(B$1:B327)+1,""))</f>
        <v/>
      </c>
      <c r="D328" s="12"/>
    </row>
    <row r="329" customFormat="false" ht="15" hidden="false" customHeight="true" outlineLevel="0" collapsed="false">
      <c r="A329" s="12" t="str">
        <f aca="false">IF(Ducted!A34="","",TRIM(Ducted!A34))</f>
        <v/>
      </c>
      <c r="B329" s="12" t="str">
        <f aca="false">IF(A329="","",IF(COUNTIF(A$2:A329,A329)=1,MAX(B$1:B328)+1,""))</f>
        <v/>
      </c>
      <c r="D329" s="12"/>
    </row>
    <row r="330" customFormat="false" ht="15" hidden="false" customHeight="true" outlineLevel="0" collapsed="false">
      <c r="A330" s="12" t="str">
        <f aca="false">IF(Ducted!A35="","",TRIM(Ducted!A35))</f>
        <v/>
      </c>
      <c r="B330" s="12" t="str">
        <f aca="false">IF(A330="","",IF(COUNTIF(A$2:A330,A330)=1,MAX(B$1:B329)+1,""))</f>
        <v/>
      </c>
      <c r="D330" s="12"/>
    </row>
    <row r="331" customFormat="false" ht="15" hidden="false" customHeight="true" outlineLevel="0" collapsed="false">
      <c r="A331" s="12" t="str">
        <f aca="false">IF(Ducted!A36="","",TRIM(Ducted!A36))</f>
        <v/>
      </c>
      <c r="B331" s="12" t="str">
        <f aca="false">IF(A331="","",IF(COUNTIF(A$2:A331,A331)=1,MAX(B$1:B330)+1,""))</f>
        <v/>
      </c>
      <c r="D331" s="12"/>
    </row>
    <row r="332" customFormat="false" ht="15" hidden="false" customHeight="true" outlineLevel="0" collapsed="false">
      <c r="A332" s="12" t="str">
        <f aca="false">IF(Ducted!A37="","",TRIM(Ducted!A37))</f>
        <v/>
      </c>
      <c r="B332" s="12" t="str">
        <f aca="false">IF(A332="","",IF(COUNTIF(A$2:A332,A332)=1,MAX(B$1:B331)+1,""))</f>
        <v/>
      </c>
      <c r="D332" s="12"/>
    </row>
    <row r="333" customFormat="false" ht="15" hidden="false" customHeight="true" outlineLevel="0" collapsed="false">
      <c r="A333" s="12" t="str">
        <f aca="false">IF(Ducted!A38="","",TRIM(Ducted!A38))</f>
        <v/>
      </c>
      <c r="B333" s="12" t="str">
        <f aca="false">IF(A333="","",IF(COUNTIF(A$2:A333,A333)=1,MAX(B$1:B332)+1,""))</f>
        <v/>
      </c>
      <c r="D333" s="12"/>
    </row>
    <row r="334" customFormat="false" ht="15" hidden="false" customHeight="true" outlineLevel="0" collapsed="false">
      <c r="A334" s="12" t="str">
        <f aca="false">IF(Ducted!A39="","",TRIM(Ducted!A39))</f>
        <v/>
      </c>
      <c r="B334" s="12" t="str">
        <f aca="false">IF(A334="","",IF(COUNTIF(A$2:A334,A334)=1,MAX(B$1:B333)+1,""))</f>
        <v/>
      </c>
      <c r="D334" s="12"/>
    </row>
    <row r="335" customFormat="false" ht="15" hidden="false" customHeight="true" outlineLevel="0" collapsed="false">
      <c r="A335" s="12" t="str">
        <f aca="false">IF(Ducted!A40="","",TRIM(Ducted!A40))</f>
        <v/>
      </c>
      <c r="B335" s="12" t="str">
        <f aca="false">IF(A335="","",IF(COUNTIF(A$2:A335,A335)=1,MAX(B$1:B334)+1,""))</f>
        <v/>
      </c>
      <c r="D335" s="12"/>
    </row>
    <row r="336" customFormat="false" ht="15" hidden="false" customHeight="true" outlineLevel="0" collapsed="false">
      <c r="A336" s="12" t="str">
        <f aca="false">IF(Ducted!A41="","",TRIM(Ducted!A41))</f>
        <v/>
      </c>
      <c r="B336" s="12" t="str">
        <f aca="false">IF(A336="","",IF(COUNTIF(A$2:A336,A336)=1,MAX(B$1:B335)+1,""))</f>
        <v/>
      </c>
      <c r="D336" s="12"/>
    </row>
    <row r="337" customFormat="false" ht="15" hidden="false" customHeight="true" outlineLevel="0" collapsed="false">
      <c r="A337" s="12" t="str">
        <f aca="false">IF(Ducted!A42="","",TRIM(Ducted!A42))</f>
        <v/>
      </c>
      <c r="B337" s="12" t="str">
        <f aca="false">IF(A337="","",IF(COUNTIF(A$2:A337,A337)=1,MAX(B$1:B336)+1,""))</f>
        <v/>
      </c>
      <c r="D337" s="12"/>
    </row>
    <row r="338" customFormat="false" ht="15" hidden="false" customHeight="true" outlineLevel="0" collapsed="false">
      <c r="A338" s="12" t="str">
        <f aca="false">IF(Ducted!A43="","",TRIM(Ducted!A43))</f>
        <v/>
      </c>
      <c r="B338" s="12" t="str">
        <f aca="false">IF(A338="","",IF(COUNTIF(A$2:A338,A338)=1,MAX(B$1:B337)+1,""))</f>
        <v/>
      </c>
      <c r="D338" s="12"/>
    </row>
    <row r="339" customFormat="false" ht="15" hidden="false" customHeight="true" outlineLevel="0" collapsed="false">
      <c r="A339" s="12" t="str">
        <f aca="false">IF(Ducted!A44="","",TRIM(Ducted!A44))</f>
        <v/>
      </c>
      <c r="B339" s="12" t="str">
        <f aca="false">IF(A339="","",IF(COUNTIF(A$2:A339,A339)=1,MAX(B$1:B338)+1,""))</f>
        <v/>
      </c>
      <c r="D339" s="12"/>
    </row>
    <row r="340" customFormat="false" ht="15" hidden="false" customHeight="true" outlineLevel="0" collapsed="false">
      <c r="A340" s="12" t="str">
        <f aca="false">IF(Ducted!A45="","",TRIM(Ducted!A45))</f>
        <v/>
      </c>
      <c r="B340" s="12" t="str">
        <f aca="false">IF(A340="","",IF(COUNTIF(A$2:A340,A340)=1,MAX(B$1:B339)+1,""))</f>
        <v/>
      </c>
      <c r="D340" s="12"/>
    </row>
    <row r="341" customFormat="false" ht="15" hidden="false" customHeight="true" outlineLevel="0" collapsed="false">
      <c r="A341" s="12" t="str">
        <f aca="false">IF(Ducted!A46="","",TRIM(Ducted!A46))</f>
        <v/>
      </c>
      <c r="B341" s="12" t="str">
        <f aca="false">IF(A341="","",IF(COUNTIF(A$2:A341,A341)=1,MAX(B$1:B340)+1,""))</f>
        <v/>
      </c>
      <c r="D341" s="12"/>
    </row>
    <row r="342" customFormat="false" ht="15" hidden="false" customHeight="true" outlineLevel="0" collapsed="false">
      <c r="A342" s="12" t="str">
        <f aca="false">IF(Ducted!A47="","",TRIM(Ducted!A47))</f>
        <v/>
      </c>
      <c r="B342" s="12" t="str">
        <f aca="false">IF(A342="","",IF(COUNTIF(A$2:A342,A342)=1,MAX(B$1:B341)+1,""))</f>
        <v/>
      </c>
      <c r="D342" s="12"/>
    </row>
    <row r="343" customFormat="false" ht="15" hidden="false" customHeight="true" outlineLevel="0" collapsed="false">
      <c r="A343" s="12" t="str">
        <f aca="false">IF(Ducted!A48="","",TRIM(Ducted!A48))</f>
        <v/>
      </c>
      <c r="B343" s="12" t="str">
        <f aca="false">IF(A343="","",IF(COUNTIF(A$2:A343,A343)=1,MAX(B$1:B342)+1,""))</f>
        <v/>
      </c>
      <c r="D343" s="12"/>
    </row>
    <row r="344" customFormat="false" ht="15" hidden="false" customHeight="true" outlineLevel="0" collapsed="false">
      <c r="A344" s="12" t="str">
        <f aca="false">IF(Ducted!A49="","",TRIM(Ducted!A49))</f>
        <v/>
      </c>
      <c r="B344" s="12" t="str">
        <f aca="false">IF(A344="","",IF(COUNTIF(A$2:A344,A344)=1,MAX(B$1:B343)+1,""))</f>
        <v/>
      </c>
      <c r="D344" s="12"/>
    </row>
    <row r="345" customFormat="false" ht="15" hidden="false" customHeight="true" outlineLevel="0" collapsed="false">
      <c r="A345" s="12" t="str">
        <f aca="false">IF(Ducted!A50="","",TRIM(Ducted!A50))</f>
        <v/>
      </c>
      <c r="B345" s="12" t="str">
        <f aca="false">IF(A345="","",IF(COUNTIF(A$2:A345,A345)=1,MAX(B$1:B344)+1,""))</f>
        <v/>
      </c>
      <c r="D345" s="12"/>
    </row>
    <row r="346" customFormat="false" ht="15" hidden="false" customHeight="true" outlineLevel="0" collapsed="false">
      <c r="A346" s="12" t="str">
        <f aca="false">IF(Ducted!A51="","",TRIM(Ducted!A51))</f>
        <v/>
      </c>
      <c r="B346" s="12" t="str">
        <f aca="false">IF(A346="","",IF(COUNTIF(A$2:A346,A346)=1,MAX(B$1:B345)+1,""))</f>
        <v/>
      </c>
      <c r="D346" s="12"/>
    </row>
    <row r="347" customFormat="false" ht="15" hidden="false" customHeight="true" outlineLevel="0" collapsed="false">
      <c r="A347" s="12" t="str">
        <f aca="false">IF(Ducted!A52="","",TRIM(Ducted!A52))</f>
        <v/>
      </c>
      <c r="B347" s="12" t="str">
        <f aca="false">IF(A347="","",IF(COUNTIF(A$2:A347,A347)=1,MAX(B$1:B346)+1,""))</f>
        <v/>
      </c>
      <c r="D347" s="12"/>
    </row>
    <row r="348" customFormat="false" ht="15" hidden="false" customHeight="true" outlineLevel="0" collapsed="false">
      <c r="A348" s="12" t="str">
        <f aca="false">IF(Ducted!A53="","",TRIM(Ducted!A53))</f>
        <v/>
      </c>
      <c r="B348" s="12" t="str">
        <f aca="false">IF(A348="","",IF(COUNTIF(A$2:A348,A348)=1,MAX(B$1:B347)+1,""))</f>
        <v/>
      </c>
      <c r="D348" s="12"/>
    </row>
    <row r="349" customFormat="false" ht="15" hidden="false" customHeight="true" outlineLevel="0" collapsed="false">
      <c r="A349" s="12" t="str">
        <f aca="false">IF(Ducted!A54="","",TRIM(Ducted!A54))</f>
        <v/>
      </c>
      <c r="B349" s="12" t="str">
        <f aca="false">IF(A349="","",IF(COUNTIF(A$2:A349,A349)=1,MAX(B$1:B348)+1,""))</f>
        <v/>
      </c>
      <c r="D349" s="12"/>
    </row>
    <row r="350" customFormat="false" ht="15" hidden="false" customHeight="true" outlineLevel="0" collapsed="false">
      <c r="A350" s="12" t="str">
        <f aca="false">IF(Ducted!A55="","",TRIM(Ducted!A55))</f>
        <v/>
      </c>
      <c r="B350" s="12" t="str">
        <f aca="false">IF(A350="","",IF(COUNTIF(A$2:A350,A350)=1,MAX(B$1:B349)+1,""))</f>
        <v/>
      </c>
      <c r="D350" s="12"/>
    </row>
    <row r="351" customFormat="false" ht="15" hidden="false" customHeight="true" outlineLevel="0" collapsed="false">
      <c r="A351" s="12" t="str">
        <f aca="false">IF(Ducted!A56="","",TRIM(Ducted!A56))</f>
        <v/>
      </c>
      <c r="B351" s="12" t="str">
        <f aca="false">IF(A351="","",IF(COUNTIF(A$2:A351,A351)=1,MAX(B$1:B350)+1,""))</f>
        <v/>
      </c>
      <c r="D351" s="12"/>
    </row>
    <row r="352" customFormat="false" ht="15" hidden="false" customHeight="true" outlineLevel="0" collapsed="false">
      <c r="A352" s="12" t="str">
        <f aca="false">IF(Ducted!A57="","",TRIM(Ducted!A57))</f>
        <v/>
      </c>
      <c r="B352" s="12" t="str">
        <f aca="false">IF(A352="","",IF(COUNTIF(A$2:A352,A352)=1,MAX(B$1:B351)+1,""))</f>
        <v/>
      </c>
      <c r="D352" s="12"/>
    </row>
    <row r="353" customFormat="false" ht="15" hidden="false" customHeight="true" outlineLevel="0" collapsed="false">
      <c r="A353" s="12" t="str">
        <f aca="false">IF(Ducted!A58="","",TRIM(Ducted!A58))</f>
        <v/>
      </c>
      <c r="B353" s="12" t="str">
        <f aca="false">IF(A353="","",IF(COUNTIF(A$2:A353,A353)=1,MAX(B$1:B352)+1,""))</f>
        <v/>
      </c>
      <c r="D353" s="12"/>
    </row>
    <row r="354" customFormat="false" ht="15" hidden="false" customHeight="true" outlineLevel="0" collapsed="false">
      <c r="A354" s="12" t="str">
        <f aca="false">IF(Ducted!A59="","",TRIM(Ducted!A59))</f>
        <v/>
      </c>
      <c r="B354" s="12" t="str">
        <f aca="false">IF(A354="","",IF(COUNTIF(A$2:A354,A354)=1,MAX(B$1:B353)+1,""))</f>
        <v/>
      </c>
      <c r="D354" s="12"/>
    </row>
    <row r="355" customFormat="false" ht="15" hidden="false" customHeight="true" outlineLevel="0" collapsed="false">
      <c r="A355" s="12" t="str">
        <f aca="false">IF(Ducted!A60="","",TRIM(Ducted!A60))</f>
        <v/>
      </c>
      <c r="B355" s="12" t="str">
        <f aca="false">IF(A355="","",IF(COUNTIF(A$2:A355,A355)=1,MAX(B$1:B354)+1,""))</f>
        <v/>
      </c>
      <c r="D355" s="12"/>
    </row>
    <row r="356" customFormat="false" ht="15" hidden="false" customHeight="true" outlineLevel="0" collapsed="false">
      <c r="A356" s="12" t="str">
        <f aca="false">IF(Ducted!A61="","",TRIM(Ducted!A61))</f>
        <v/>
      </c>
      <c r="B356" s="12" t="str">
        <f aca="false">IF(A356="","",IF(COUNTIF(A$2:A356,A356)=1,MAX(B$1:B355)+1,""))</f>
        <v/>
      </c>
      <c r="D356" s="12"/>
    </row>
    <row r="357" customFormat="false" ht="15" hidden="false" customHeight="true" outlineLevel="0" collapsed="false">
      <c r="A357" s="12" t="str">
        <f aca="false">IF(Ducted!A62="","",TRIM(Ducted!A62))</f>
        <v/>
      </c>
      <c r="B357" s="12" t="str">
        <f aca="false">IF(A357="","",IF(COUNTIF(A$2:A357,A357)=1,MAX(B$1:B356)+1,""))</f>
        <v/>
      </c>
      <c r="D357" s="12"/>
    </row>
    <row r="358" customFormat="false" ht="15" hidden="false" customHeight="true" outlineLevel="0" collapsed="false">
      <c r="A358" s="12" t="str">
        <f aca="false">IF(Ducted!A63="","",TRIM(Ducted!A63))</f>
        <v/>
      </c>
      <c r="B358" s="12" t="str">
        <f aca="false">IF(A358="","",IF(COUNTIF(A$2:A358,A358)=1,MAX(B$1:B357)+1,""))</f>
        <v/>
      </c>
      <c r="D358" s="12"/>
    </row>
    <row r="359" customFormat="false" ht="15" hidden="false" customHeight="true" outlineLevel="0" collapsed="false">
      <c r="A359" s="12" t="str">
        <f aca="false">IF(Ducted!A64="","",TRIM(Ducted!A64))</f>
        <v/>
      </c>
      <c r="B359" s="12" t="str">
        <f aca="false">IF(A359="","",IF(COUNTIF(A$2:A359,A359)=1,MAX(B$1:B358)+1,""))</f>
        <v/>
      </c>
      <c r="D359" s="12"/>
    </row>
    <row r="360" customFormat="false" ht="15" hidden="false" customHeight="true" outlineLevel="0" collapsed="false">
      <c r="A360" s="12" t="str">
        <f aca="false">IF(Ducted!A65="","",TRIM(Ducted!A65))</f>
        <v/>
      </c>
      <c r="B360" s="12" t="str">
        <f aca="false">IF(A360="","",IF(COUNTIF(A$2:A360,A360)=1,MAX(B$1:B359)+1,""))</f>
        <v/>
      </c>
      <c r="D360" s="12"/>
    </row>
    <row r="361" customFormat="false" ht="15" hidden="false" customHeight="true" outlineLevel="0" collapsed="false">
      <c r="A361" s="12" t="str">
        <f aca="false">IF(Ducted!A66="","",TRIM(Ducted!A66))</f>
        <v/>
      </c>
      <c r="B361" s="12" t="str">
        <f aca="false">IF(A361="","",IF(COUNTIF(A$2:A361,A361)=1,MAX(B$1:B360)+1,""))</f>
        <v/>
      </c>
      <c r="D361" s="12"/>
    </row>
    <row r="362" customFormat="false" ht="15" hidden="false" customHeight="true" outlineLevel="0" collapsed="false">
      <c r="A362" s="12" t="str">
        <f aca="false">IF(Ducted!A67="","",TRIM(Ducted!A67))</f>
        <v/>
      </c>
      <c r="B362" s="12" t="str">
        <f aca="false">IF(A362="","",IF(COUNTIF(A$2:A362,A362)=1,MAX(B$1:B361)+1,""))</f>
        <v/>
      </c>
      <c r="D362" s="12"/>
    </row>
    <row r="363" customFormat="false" ht="15" hidden="false" customHeight="true" outlineLevel="0" collapsed="false">
      <c r="A363" s="12" t="str">
        <f aca="false">IF(Ducted!A68="","",TRIM(Ducted!A68))</f>
        <v/>
      </c>
      <c r="B363" s="12" t="str">
        <f aca="false">IF(A363="","",IF(COUNTIF(A$2:A363,A363)=1,MAX(B$1:B362)+1,""))</f>
        <v/>
      </c>
      <c r="D363" s="12"/>
    </row>
    <row r="364" customFormat="false" ht="15" hidden="false" customHeight="true" outlineLevel="0" collapsed="false">
      <c r="A364" s="12" t="str">
        <f aca="false">IF(Ducted!A69="","",TRIM(Ducted!A69))</f>
        <v/>
      </c>
      <c r="B364" s="12" t="str">
        <f aca="false">IF(A364="","",IF(COUNTIF(A$2:A364,A364)=1,MAX(B$1:B363)+1,""))</f>
        <v/>
      </c>
      <c r="D364" s="12"/>
    </row>
    <row r="365" customFormat="false" ht="15" hidden="false" customHeight="true" outlineLevel="0" collapsed="false">
      <c r="A365" s="12" t="str">
        <f aca="false">IF(Ducted!A70="","",TRIM(Ducted!A70))</f>
        <v/>
      </c>
      <c r="B365" s="12" t="str">
        <f aca="false">IF(A365="","",IF(COUNTIF(A$2:A365,A365)=1,MAX(B$1:B364)+1,""))</f>
        <v/>
      </c>
      <c r="D365" s="12"/>
    </row>
    <row r="366" customFormat="false" ht="15" hidden="false" customHeight="true" outlineLevel="0" collapsed="false">
      <c r="A366" s="12" t="str">
        <f aca="false">IF(Ducted!A71="","",TRIM(Ducted!A71))</f>
        <v/>
      </c>
      <c r="B366" s="12" t="str">
        <f aca="false">IF(A366="","",IF(COUNTIF(A$2:A366,A366)=1,MAX(B$1:B365)+1,""))</f>
        <v/>
      </c>
      <c r="D366" s="12"/>
    </row>
    <row r="367" customFormat="false" ht="15" hidden="false" customHeight="true" outlineLevel="0" collapsed="false">
      <c r="A367" s="12" t="str">
        <f aca="false">IF(Ducted!A72="","",TRIM(Ducted!A72))</f>
        <v/>
      </c>
      <c r="B367" s="12" t="str">
        <f aca="false">IF(A367="","",IF(COUNTIF(A$2:A367,A367)=1,MAX(B$1:B366)+1,""))</f>
        <v/>
      </c>
      <c r="D367" s="12"/>
    </row>
    <row r="368" customFormat="false" ht="15" hidden="false" customHeight="true" outlineLevel="0" collapsed="false">
      <c r="A368" s="12" t="str">
        <f aca="false">IF(Ducted!A73="","",TRIM(Ducted!A73))</f>
        <v/>
      </c>
      <c r="B368" s="12" t="str">
        <f aca="false">IF(A368="","",IF(COUNTIF(A$2:A368,A368)=1,MAX(B$1:B367)+1,""))</f>
        <v/>
      </c>
      <c r="D368" s="12"/>
    </row>
    <row r="369" customFormat="false" ht="15" hidden="false" customHeight="true" outlineLevel="0" collapsed="false">
      <c r="A369" s="12" t="str">
        <f aca="false">IF(Ducted!A74="","",TRIM(Ducted!A74))</f>
        <v/>
      </c>
      <c r="B369" s="12" t="str">
        <f aca="false">IF(A369="","",IF(COUNTIF(A$2:A369,A369)=1,MAX(B$1:B368)+1,""))</f>
        <v/>
      </c>
      <c r="D369" s="12"/>
    </row>
    <row r="370" customFormat="false" ht="15" hidden="false" customHeight="true" outlineLevel="0" collapsed="false">
      <c r="A370" s="12" t="str">
        <f aca="false">IF(Ducted!A75="","",TRIM(Ducted!A75))</f>
        <v/>
      </c>
      <c r="B370" s="12" t="str">
        <f aca="false">IF(A370="","",IF(COUNTIF(A$2:A370,A370)=1,MAX(B$1:B369)+1,""))</f>
        <v/>
      </c>
      <c r="D370" s="12"/>
    </row>
    <row r="371" customFormat="false" ht="15" hidden="false" customHeight="true" outlineLevel="0" collapsed="false">
      <c r="A371" s="12" t="str">
        <f aca="false">IF(Ducted!A76="","",TRIM(Ducted!A76))</f>
        <v/>
      </c>
      <c r="B371" s="12" t="str">
        <f aca="false">IF(A371="","",IF(COUNTIF(A$2:A371,A371)=1,MAX(B$1:B370)+1,""))</f>
        <v/>
      </c>
      <c r="D371" s="12"/>
    </row>
    <row r="372" customFormat="false" ht="15" hidden="false" customHeight="true" outlineLevel="0" collapsed="false">
      <c r="A372" s="12" t="str">
        <f aca="false">IF(Ducted!A77="","",TRIM(Ducted!A77))</f>
        <v/>
      </c>
      <c r="B372" s="12" t="str">
        <f aca="false">IF(A372="","",IF(COUNTIF(A$2:A372,A372)=1,MAX(B$1:B371)+1,""))</f>
        <v/>
      </c>
      <c r="D372" s="12"/>
    </row>
    <row r="373" customFormat="false" ht="15" hidden="false" customHeight="true" outlineLevel="0" collapsed="false">
      <c r="A373" s="12" t="str">
        <f aca="false">IF(Ducted!A78="","",TRIM(Ducted!A78))</f>
        <v/>
      </c>
      <c r="B373" s="12" t="str">
        <f aca="false">IF(A373="","",IF(COUNTIF(A$2:A373,A373)=1,MAX(B$1:B372)+1,""))</f>
        <v/>
      </c>
      <c r="D373" s="12"/>
    </row>
    <row r="374" customFormat="false" ht="15" hidden="false" customHeight="true" outlineLevel="0" collapsed="false">
      <c r="A374" s="12" t="str">
        <f aca="false">IF(Ducted!A79="","",TRIM(Ducted!A79))</f>
        <v/>
      </c>
      <c r="B374" s="12" t="str">
        <f aca="false">IF(A374="","",IF(COUNTIF(A$2:A374,A374)=1,MAX(B$1:B373)+1,""))</f>
        <v/>
      </c>
      <c r="D374" s="12"/>
    </row>
    <row r="375" customFormat="false" ht="15" hidden="false" customHeight="true" outlineLevel="0" collapsed="false">
      <c r="A375" s="12" t="str">
        <f aca="false">IF(Ducted!A80="","",TRIM(Ducted!A80))</f>
        <v/>
      </c>
      <c r="B375" s="12" t="str">
        <f aca="false">IF(A375="","",IF(COUNTIF(A$2:A375,A375)=1,MAX(B$1:B374)+1,""))</f>
        <v/>
      </c>
      <c r="D375" s="12"/>
    </row>
    <row r="376" customFormat="false" ht="15" hidden="false" customHeight="true" outlineLevel="0" collapsed="false">
      <c r="A376" s="12" t="str">
        <f aca="false">IF(Ducted!A81="","",TRIM(Ducted!A81))</f>
        <v/>
      </c>
      <c r="B376" s="12" t="str">
        <f aca="false">IF(A376="","",IF(COUNTIF(A$2:A376,A376)=1,MAX(B$1:B375)+1,""))</f>
        <v/>
      </c>
      <c r="D376" s="12"/>
    </row>
    <row r="377" customFormat="false" ht="15" hidden="false" customHeight="true" outlineLevel="0" collapsed="false">
      <c r="A377" s="12" t="str">
        <f aca="false">IF(Ducted!A82="","",TRIM(Ducted!A82))</f>
        <v/>
      </c>
      <c r="B377" s="12" t="str">
        <f aca="false">IF(A377="","",IF(COUNTIF(A$2:A377,A377)=1,MAX(B$1:B376)+1,""))</f>
        <v/>
      </c>
      <c r="D377" s="12"/>
    </row>
    <row r="378" customFormat="false" ht="15" hidden="false" customHeight="true" outlineLevel="0" collapsed="false">
      <c r="A378" s="12" t="str">
        <f aca="false">IF(Ducted!A83="","",TRIM(Ducted!A83))</f>
        <v/>
      </c>
      <c r="B378" s="12" t="str">
        <f aca="false">IF(A378="","",IF(COUNTIF(A$2:A378,A378)=1,MAX(B$1:B377)+1,""))</f>
        <v/>
      </c>
      <c r="D378" s="12"/>
    </row>
    <row r="379" customFormat="false" ht="15" hidden="false" customHeight="true" outlineLevel="0" collapsed="false">
      <c r="A379" s="12" t="str">
        <f aca="false">IF(Ducted!A84="","",TRIM(Ducted!A84))</f>
        <v/>
      </c>
      <c r="B379" s="12" t="str">
        <f aca="false">IF(A379="","",IF(COUNTIF(A$2:A379,A379)=1,MAX(B$1:B378)+1,""))</f>
        <v/>
      </c>
      <c r="D379" s="12"/>
    </row>
    <row r="380" customFormat="false" ht="15" hidden="false" customHeight="true" outlineLevel="0" collapsed="false">
      <c r="A380" s="12" t="str">
        <f aca="false">IF(Ducted!A85="","",TRIM(Ducted!A85))</f>
        <v/>
      </c>
      <c r="B380" s="12" t="str">
        <f aca="false">IF(A380="","",IF(COUNTIF(A$2:A380,A380)=1,MAX(B$1:B379)+1,""))</f>
        <v/>
      </c>
      <c r="D380" s="12"/>
    </row>
    <row r="381" customFormat="false" ht="15" hidden="false" customHeight="true" outlineLevel="0" collapsed="false">
      <c r="A381" s="12" t="str">
        <f aca="false">IF(Ducted!A86="","",TRIM(Ducted!A86))</f>
        <v/>
      </c>
      <c r="B381" s="12" t="str">
        <f aca="false">IF(A381="","",IF(COUNTIF(A$2:A381,A381)=1,MAX(B$1:B380)+1,""))</f>
        <v/>
      </c>
      <c r="D381" s="12"/>
    </row>
    <row r="382" customFormat="false" ht="15" hidden="false" customHeight="true" outlineLevel="0" collapsed="false">
      <c r="A382" s="12" t="str">
        <f aca="false">IF(Ducted!A87="","",TRIM(Ducted!A87))</f>
        <v/>
      </c>
      <c r="B382" s="12" t="str">
        <f aca="false">IF(A382="","",IF(COUNTIF(A$2:A382,A382)=1,MAX(B$1:B381)+1,""))</f>
        <v/>
      </c>
      <c r="D382" s="12"/>
    </row>
    <row r="383" customFormat="false" ht="15" hidden="false" customHeight="true" outlineLevel="0" collapsed="false">
      <c r="A383" s="12" t="str">
        <f aca="false">IF(Ducted!A88="","",TRIM(Ducted!A88))</f>
        <v/>
      </c>
      <c r="B383" s="12" t="str">
        <f aca="false">IF(A383="","",IF(COUNTIF(A$2:A383,A383)=1,MAX(B$1:B382)+1,""))</f>
        <v/>
      </c>
      <c r="D383" s="12"/>
    </row>
    <row r="384" customFormat="false" ht="15" hidden="false" customHeight="true" outlineLevel="0" collapsed="false">
      <c r="A384" s="12" t="str">
        <f aca="false">IF(Ducted!A89="","",TRIM(Ducted!A89))</f>
        <v/>
      </c>
      <c r="B384" s="12" t="str">
        <f aca="false">IF(A384="","",IF(COUNTIF(A$2:A384,A384)=1,MAX(B$1:B383)+1,""))</f>
        <v/>
      </c>
      <c r="D384" s="12"/>
    </row>
    <row r="385" customFormat="false" ht="15" hidden="false" customHeight="true" outlineLevel="0" collapsed="false">
      <c r="A385" s="12" t="str">
        <f aca="false">IF(Ducted!A90="","",TRIM(Ducted!A90))</f>
        <v/>
      </c>
      <c r="B385" s="12" t="str">
        <f aca="false">IF(A385="","",IF(COUNTIF(A$2:A385,A385)=1,MAX(B$1:B384)+1,""))</f>
        <v/>
      </c>
      <c r="D385" s="12"/>
    </row>
    <row r="386" customFormat="false" ht="15" hidden="false" customHeight="true" outlineLevel="0" collapsed="false">
      <c r="A386" s="12" t="str">
        <f aca="false">IF(Ducted!A91="","",TRIM(Ducted!A91))</f>
        <v/>
      </c>
      <c r="B386" s="12" t="str">
        <f aca="false">IF(A386="","",IF(COUNTIF(A$2:A386,A386)=1,MAX(B$1:B385)+1,""))</f>
        <v/>
      </c>
      <c r="D386" s="12"/>
    </row>
    <row r="387" customFormat="false" ht="15" hidden="false" customHeight="true" outlineLevel="0" collapsed="false">
      <c r="A387" s="12" t="str">
        <f aca="false">IF(Ducted!A92="","",TRIM(Ducted!A92))</f>
        <v/>
      </c>
      <c r="B387" s="12" t="str">
        <f aca="false">IF(A387="","",IF(COUNTIF(A$2:A387,A387)=1,MAX(B$1:B386)+1,""))</f>
        <v/>
      </c>
      <c r="D387" s="12"/>
    </row>
    <row r="388" customFormat="false" ht="15" hidden="false" customHeight="true" outlineLevel="0" collapsed="false">
      <c r="A388" s="12" t="str">
        <f aca="false">IF(Ducted!A93="","",TRIM(Ducted!A93))</f>
        <v/>
      </c>
      <c r="B388" s="12" t="str">
        <f aca="false">IF(A388="","",IF(COUNTIF(A$2:A388,A388)=1,MAX(B$1:B387)+1,""))</f>
        <v/>
      </c>
      <c r="D388" s="12"/>
    </row>
    <row r="389" customFormat="false" ht="15" hidden="false" customHeight="true" outlineLevel="0" collapsed="false">
      <c r="A389" s="12" t="str">
        <f aca="false">IF(Ducted!A94="","",TRIM(Ducted!A94))</f>
        <v/>
      </c>
      <c r="B389" s="12" t="str">
        <f aca="false">IF(A389="","",IF(COUNTIF(A$2:A389,A389)=1,MAX(B$1:B388)+1,""))</f>
        <v/>
      </c>
      <c r="D389" s="12"/>
    </row>
    <row r="390" customFormat="false" ht="15" hidden="false" customHeight="true" outlineLevel="0" collapsed="false">
      <c r="A390" s="12" t="str">
        <f aca="false">IF(Ducted!A95="","",TRIM(Ducted!A95))</f>
        <v/>
      </c>
      <c r="B390" s="12" t="str">
        <f aca="false">IF(A390="","",IF(COUNTIF(A$2:A390,A390)=1,MAX(B$1:B389)+1,""))</f>
        <v/>
      </c>
      <c r="D390" s="12"/>
    </row>
    <row r="391" customFormat="false" ht="15" hidden="false" customHeight="true" outlineLevel="0" collapsed="false">
      <c r="A391" s="12" t="str">
        <f aca="false">IF(Ducted!A96="","",TRIM(Ducted!A96))</f>
        <v/>
      </c>
      <c r="B391" s="12" t="str">
        <f aca="false">IF(A391="","",IF(COUNTIF(A$2:A391,A391)=1,MAX(B$1:B390)+1,""))</f>
        <v/>
      </c>
      <c r="D391" s="12"/>
    </row>
    <row r="392" customFormat="false" ht="15" hidden="false" customHeight="true" outlineLevel="0" collapsed="false">
      <c r="A392" s="12" t="str">
        <f aca="false">IF(Ducted!A97="","",TRIM(Ducted!A97))</f>
        <v/>
      </c>
      <c r="B392" s="12" t="str">
        <f aca="false">IF(A392="","",IF(COUNTIF(A$2:A392,A392)=1,MAX(B$1:B391)+1,""))</f>
        <v/>
      </c>
      <c r="D392" s="12"/>
    </row>
    <row r="393" customFormat="false" ht="15" hidden="false" customHeight="true" outlineLevel="0" collapsed="false">
      <c r="A393" s="12" t="str">
        <f aca="false">IF(Ducted!A98="","",TRIM(Ducted!A98))</f>
        <v/>
      </c>
      <c r="B393" s="12" t="str">
        <f aca="false">IF(A393="","",IF(COUNTIF(A$2:A393,A393)=1,MAX(B$1:B392)+1,""))</f>
        <v/>
      </c>
      <c r="D393" s="12"/>
    </row>
    <row r="394" customFormat="false" ht="15" hidden="false" customHeight="true" outlineLevel="0" collapsed="false">
      <c r="A394" s="12" t="str">
        <f aca="false">IF(Ducted!A99="","",TRIM(Ducted!A99))</f>
        <v/>
      </c>
      <c r="B394" s="12" t="str">
        <f aca="false">IF(A394="","",IF(COUNTIF(A$2:A394,A394)=1,MAX(B$1:B393)+1,""))</f>
        <v/>
      </c>
      <c r="D394" s="12"/>
    </row>
    <row r="395" customFormat="false" ht="15" hidden="false" customHeight="true" outlineLevel="0" collapsed="false">
      <c r="A395" s="12" t="str">
        <f aca="false">IF(Ducted!A100="","",TRIM(Ducted!A100))</f>
        <v/>
      </c>
      <c r="B395" s="12" t="str">
        <f aca="false">IF(A395="","",IF(COUNTIF(A$2:A395,A395)=1,MAX(B$1:B394)+1,""))</f>
        <v/>
      </c>
      <c r="D395" s="12"/>
    </row>
    <row r="396" customFormat="false" ht="15" hidden="false" customHeight="true" outlineLevel="0" collapsed="false">
      <c r="A396" s="12" t="str">
        <f aca="false">IF(Ducted!A101="","",TRIM(Ducted!A101))</f>
        <v/>
      </c>
      <c r="B396" s="12" t="str">
        <f aca="false">IF(A396="","",IF(COUNTIF(A$2:A396,A396)=1,MAX(B$1:B395)+1,""))</f>
        <v/>
      </c>
      <c r="D396" s="12"/>
    </row>
    <row r="397" customFormat="false" ht="15" hidden="false" customHeight="true" outlineLevel="0" collapsed="false">
      <c r="A397" s="12" t="str">
        <f aca="false">IF(Ducted!A102="","",TRIM(Ducted!A102))</f>
        <v/>
      </c>
      <c r="B397" s="12" t="str">
        <f aca="false">IF(A397="","",IF(COUNTIF(A$2:A397,A397)=1,MAX(B$1:B396)+1,""))</f>
        <v/>
      </c>
      <c r="D397" s="12"/>
    </row>
    <row r="398" customFormat="false" ht="15" hidden="false" customHeight="true" outlineLevel="0" collapsed="false">
      <c r="A398" s="12" t="str">
        <f aca="false">IF(Ducted!A103="","",TRIM(Ducted!A103))</f>
        <v/>
      </c>
      <c r="B398" s="12" t="str">
        <f aca="false">IF(A398="","",IF(COUNTIF(A$2:A398,A398)=1,MAX(B$1:B397)+1,""))</f>
        <v/>
      </c>
      <c r="D398" s="12"/>
    </row>
    <row r="399" customFormat="false" ht="15" hidden="false" customHeight="true" outlineLevel="0" collapsed="false">
      <c r="A399" s="12" t="str">
        <f aca="false">IF(Ducted!A104="","",TRIM(Ducted!A104))</f>
        <v/>
      </c>
      <c r="B399" s="12" t="str">
        <f aca="false">IF(A399="","",IF(COUNTIF(A$2:A399,A399)=1,MAX(B$1:B398)+1,""))</f>
        <v/>
      </c>
      <c r="D399" s="12"/>
    </row>
    <row r="400" customFormat="false" ht="15" hidden="false" customHeight="true" outlineLevel="0" collapsed="false">
      <c r="A400" s="12" t="str">
        <f aca="false">IF(Ducted!A105="","",TRIM(Ducted!A105))</f>
        <v/>
      </c>
      <c r="B400" s="12" t="str">
        <f aca="false">IF(A400="","",IF(COUNTIF(A$2:A400,A400)=1,MAX(B$1:B399)+1,""))</f>
        <v/>
      </c>
      <c r="D400" s="12"/>
    </row>
    <row r="401" customFormat="false" ht="15" hidden="false" customHeight="true" outlineLevel="0" collapsed="false">
      <c r="A401" s="12" t="str">
        <f aca="false">IF(Ducted!A106="","",TRIM(Ducted!A106))</f>
        <v/>
      </c>
      <c r="B401" s="12" t="str">
        <f aca="false">IF(A401="","",IF(COUNTIF(A$2:A401,A401)=1,MAX(B$1:B400)+1,""))</f>
        <v/>
      </c>
      <c r="D401" s="12"/>
    </row>
    <row r="402" customFormat="false" ht="15" hidden="false" customHeight="true" outlineLevel="0" collapsed="false">
      <c r="A402" s="12" t="str">
        <f aca="false">IF(Ducted!A107="","",TRIM(Ducted!A107))</f>
        <v/>
      </c>
      <c r="B402" s="12" t="str">
        <f aca="false">IF(A402="","",IF(COUNTIF(A$2:A402,A402)=1,MAX(B$1:B401)+1,""))</f>
        <v/>
      </c>
      <c r="D402" s="12"/>
    </row>
    <row r="403" customFormat="false" ht="15" hidden="false" customHeight="true" outlineLevel="0" collapsed="false">
      <c r="A403" s="12" t="str">
        <f aca="false">IF(Ducted!A108="","",TRIM(Ducted!A108))</f>
        <v/>
      </c>
      <c r="B403" s="12" t="str">
        <f aca="false">IF(A403="","",IF(COUNTIF(A$2:A403,A403)=1,MAX(B$1:B402)+1,""))</f>
        <v/>
      </c>
      <c r="D403" s="12"/>
    </row>
    <row r="404" customFormat="false" ht="15" hidden="false" customHeight="true" outlineLevel="0" collapsed="false">
      <c r="A404" s="12" t="str">
        <f aca="false">IF(Ducted!A109="","",TRIM(Ducted!A109))</f>
        <v/>
      </c>
      <c r="B404" s="12" t="str">
        <f aca="false">IF(A404="","",IF(COUNTIF(A$2:A404,A404)=1,MAX(B$1:B403)+1,""))</f>
        <v/>
      </c>
      <c r="D404" s="12"/>
    </row>
    <row r="405" customFormat="false" ht="15" hidden="false" customHeight="true" outlineLevel="0" collapsed="false">
      <c r="A405" s="12" t="str">
        <f aca="false">IF(Ducted!A110="","",TRIM(Ducted!A110))</f>
        <v/>
      </c>
      <c r="B405" s="12" t="str">
        <f aca="false">IF(A405="","",IF(COUNTIF(A$2:A405,A405)=1,MAX(B$1:B404)+1,""))</f>
        <v/>
      </c>
      <c r="D405" s="12"/>
    </row>
    <row r="406" customFormat="false" ht="15" hidden="false" customHeight="true" outlineLevel="0" collapsed="false">
      <c r="A406" s="12" t="str">
        <f aca="false">IF(Ducted!A111="","",TRIM(Ducted!A111))</f>
        <v/>
      </c>
      <c r="B406" s="12" t="str">
        <f aca="false">IF(A406="","",IF(COUNTIF(A$2:A406,A406)=1,MAX(B$1:B405)+1,""))</f>
        <v/>
      </c>
      <c r="D406" s="12"/>
    </row>
    <row r="407" customFormat="false" ht="15" hidden="false" customHeight="true" outlineLevel="0" collapsed="false">
      <c r="A407" s="12" t="str">
        <f aca="false">IF(Ducted!A112="","",TRIM(Ducted!A112))</f>
        <v/>
      </c>
      <c r="B407" s="12" t="str">
        <f aca="false">IF(A407="","",IF(COUNTIF(A$2:A407,A407)=1,MAX(B$1:B406)+1,""))</f>
        <v/>
      </c>
      <c r="D407" s="12"/>
    </row>
    <row r="408" customFormat="false" ht="15" hidden="false" customHeight="true" outlineLevel="0" collapsed="false">
      <c r="A408" s="12" t="str">
        <f aca="false">IF(Ducted!A113="","",TRIM(Ducted!A113))</f>
        <v/>
      </c>
      <c r="B408" s="12" t="str">
        <f aca="false">IF(A408="","",IF(COUNTIF(A$2:A408,A408)=1,MAX(B$1:B407)+1,""))</f>
        <v/>
      </c>
      <c r="D408" s="12"/>
    </row>
    <row r="409" customFormat="false" ht="15" hidden="false" customHeight="true" outlineLevel="0" collapsed="false">
      <c r="A409" s="12" t="str">
        <f aca="false">IF(Ducted!A114="","",TRIM(Ducted!A114))</f>
        <v/>
      </c>
      <c r="B409" s="12" t="str">
        <f aca="false">IF(A409="","",IF(COUNTIF(A$2:A409,A409)=1,MAX(B$1:B408)+1,""))</f>
        <v/>
      </c>
      <c r="D409" s="12"/>
    </row>
    <row r="410" customFormat="false" ht="15" hidden="false" customHeight="true" outlineLevel="0" collapsed="false">
      <c r="A410" s="12" t="str">
        <f aca="false">IF(Ducted!A115="","",TRIM(Ducted!A115))</f>
        <v/>
      </c>
      <c r="B410" s="12" t="str">
        <f aca="false">IF(A410="","",IF(COUNTIF(A$2:A410,A410)=1,MAX(B$1:B409)+1,""))</f>
        <v/>
      </c>
      <c r="D410" s="12"/>
    </row>
    <row r="411" customFormat="false" ht="15" hidden="false" customHeight="true" outlineLevel="0" collapsed="false">
      <c r="A411" s="12" t="str">
        <f aca="false">IF(Ducted!A116="","",TRIM(Ducted!A116))</f>
        <v/>
      </c>
      <c r="B411" s="12" t="str">
        <f aca="false">IF(A411="","",IF(COUNTIF(A$2:A411,A411)=1,MAX(B$1:B410)+1,""))</f>
        <v/>
      </c>
      <c r="D411" s="12"/>
    </row>
    <row r="412" customFormat="false" ht="15" hidden="false" customHeight="true" outlineLevel="0" collapsed="false">
      <c r="A412" s="12" t="str">
        <f aca="false">IF(Ducted!A117="","",TRIM(Ducted!A117))</f>
        <v/>
      </c>
      <c r="B412" s="12" t="str">
        <f aca="false">IF(A412="","",IF(COUNTIF(A$2:A412,A412)=1,MAX(B$1:B411)+1,""))</f>
        <v/>
      </c>
      <c r="D412" s="12"/>
    </row>
    <row r="413" customFormat="false" ht="15" hidden="false" customHeight="true" outlineLevel="0" collapsed="false">
      <c r="A413" s="12" t="str">
        <f aca="false">IF(Ducted!A118="","",TRIM(Ducted!A118))</f>
        <v/>
      </c>
      <c r="B413" s="12" t="str">
        <f aca="false">IF(A413="","",IF(COUNTIF(A$2:A413,A413)=1,MAX(B$1:B412)+1,""))</f>
        <v/>
      </c>
      <c r="D413" s="12"/>
    </row>
    <row r="414" customFormat="false" ht="15" hidden="false" customHeight="true" outlineLevel="0" collapsed="false">
      <c r="A414" s="12" t="str">
        <f aca="false">IF(Ducted!A119="","",TRIM(Ducted!A119))</f>
        <v/>
      </c>
      <c r="B414" s="12" t="str">
        <f aca="false">IF(A414="","",IF(COUNTIF(A$2:A414,A414)=1,MAX(B$1:B413)+1,""))</f>
        <v/>
      </c>
      <c r="D414" s="12"/>
    </row>
    <row r="415" customFormat="false" ht="15" hidden="false" customHeight="true" outlineLevel="0" collapsed="false">
      <c r="A415" s="12" t="str">
        <f aca="false">IF(Ducted!A120="","",TRIM(Ducted!A120))</f>
        <v/>
      </c>
      <c r="B415" s="12" t="str">
        <f aca="false">IF(A415="","",IF(COUNTIF(A$2:A415,A415)=1,MAX(B$1:B414)+1,""))</f>
        <v/>
      </c>
      <c r="D415" s="12"/>
    </row>
    <row r="416" customFormat="false" ht="15" hidden="false" customHeight="true" outlineLevel="0" collapsed="false">
      <c r="A416" s="12" t="str">
        <f aca="false">IF(Ducted!A121="","",TRIM(Ducted!A121))</f>
        <v/>
      </c>
      <c r="B416" s="12" t="str">
        <f aca="false">IF(A416="","",IF(COUNTIF(A$2:A416,A416)=1,MAX(B$1:B415)+1,""))</f>
        <v/>
      </c>
      <c r="D416" s="12"/>
    </row>
    <row r="417" customFormat="false" ht="15" hidden="false" customHeight="true" outlineLevel="0" collapsed="false">
      <c r="A417" s="12" t="str">
        <f aca="false">IF(Ducted!A122="","",TRIM(Ducted!A122))</f>
        <v/>
      </c>
      <c r="B417" s="12" t="str">
        <f aca="false">IF(A417="","",IF(COUNTIF(A$2:A417,A417)=1,MAX(B$1:B416)+1,""))</f>
        <v/>
      </c>
      <c r="D417" s="12"/>
    </row>
    <row r="418" customFormat="false" ht="15" hidden="false" customHeight="true" outlineLevel="0" collapsed="false">
      <c r="A418" s="12" t="str">
        <f aca="false">IF(Ducted!A123="","",TRIM(Ducted!A123))</f>
        <v/>
      </c>
      <c r="B418" s="12" t="str">
        <f aca="false">IF(A418="","",IF(COUNTIF(A$2:A418,A418)=1,MAX(B$1:B417)+1,""))</f>
        <v/>
      </c>
      <c r="D418" s="12"/>
    </row>
    <row r="419" customFormat="false" ht="15" hidden="false" customHeight="true" outlineLevel="0" collapsed="false">
      <c r="A419" s="12" t="str">
        <f aca="false">IF(Ducted!A124="","",TRIM(Ducted!A124))</f>
        <v/>
      </c>
      <c r="B419" s="12" t="str">
        <f aca="false">IF(A419="","",IF(COUNTIF(A$2:A419,A419)=1,MAX(B$1:B418)+1,""))</f>
        <v/>
      </c>
      <c r="D419" s="12"/>
    </row>
    <row r="420" customFormat="false" ht="15" hidden="false" customHeight="true" outlineLevel="0" collapsed="false">
      <c r="A420" s="12" t="str">
        <f aca="false">IF(Ducted!A125="","",TRIM(Ducted!A125))</f>
        <v/>
      </c>
      <c r="B420" s="12" t="str">
        <f aca="false">IF(A420="","",IF(COUNTIF(A$2:A420,A420)=1,MAX(B$1:B419)+1,""))</f>
        <v/>
      </c>
      <c r="D420" s="12"/>
    </row>
    <row r="421" customFormat="false" ht="15" hidden="false" customHeight="true" outlineLevel="0" collapsed="false">
      <c r="A421" s="12" t="str">
        <f aca="false">IF(Ducted!A126="","",TRIM(Ducted!A126))</f>
        <v/>
      </c>
      <c r="B421" s="12" t="str">
        <f aca="false">IF(A421="","",IF(COUNTIF(A$2:A421,A421)=1,MAX(B$1:B420)+1,""))</f>
        <v/>
      </c>
      <c r="D421" s="12"/>
    </row>
    <row r="422" customFormat="false" ht="15" hidden="false" customHeight="true" outlineLevel="0" collapsed="false">
      <c r="A422" s="12" t="str">
        <f aca="false">IF(Ducted!A127="","",TRIM(Ducted!A127))</f>
        <v/>
      </c>
      <c r="B422" s="12" t="str">
        <f aca="false">IF(A422="","",IF(COUNTIF(A$2:A422,A422)=1,MAX(B$1:B421)+1,""))</f>
        <v/>
      </c>
      <c r="D422" s="12"/>
    </row>
    <row r="423" customFormat="false" ht="15" hidden="false" customHeight="true" outlineLevel="0" collapsed="false">
      <c r="A423" s="12" t="str">
        <f aca="false">IF(Ducted!A128="","",TRIM(Ducted!A128))</f>
        <v/>
      </c>
      <c r="B423" s="12" t="str">
        <f aca="false">IF(A423="","",IF(COUNTIF(A$2:A423,A423)=1,MAX(B$1:B422)+1,""))</f>
        <v/>
      </c>
      <c r="D423" s="12"/>
    </row>
    <row r="424" customFormat="false" ht="15" hidden="false" customHeight="true" outlineLevel="0" collapsed="false">
      <c r="A424" s="12" t="str">
        <f aca="false">IF(Ducted!A129="","",TRIM(Ducted!A129))</f>
        <v/>
      </c>
      <c r="B424" s="12" t="str">
        <f aca="false">IF(A424="","",IF(COUNTIF(A$2:A424,A424)=1,MAX(B$1:B423)+1,""))</f>
        <v/>
      </c>
      <c r="D424" s="12"/>
    </row>
    <row r="425" customFormat="false" ht="15" hidden="false" customHeight="true" outlineLevel="0" collapsed="false">
      <c r="A425" s="12" t="str">
        <f aca="false">IF(Ducted!A130="","",TRIM(Ducted!A130))</f>
        <v/>
      </c>
      <c r="B425" s="12" t="str">
        <f aca="false">IF(A425="","",IF(COUNTIF(A$2:A425,A425)=1,MAX(B$1:B424)+1,""))</f>
        <v/>
      </c>
      <c r="D425" s="12"/>
    </row>
    <row r="426" customFormat="false" ht="15" hidden="false" customHeight="true" outlineLevel="0" collapsed="false">
      <c r="A426" s="12" t="str">
        <f aca="false">IF(Ducted!A131="","",TRIM(Ducted!A131))</f>
        <v/>
      </c>
      <c r="B426" s="12" t="str">
        <f aca="false">IF(A426="","",IF(COUNTIF(A$2:A426,A426)=1,MAX(B$1:B425)+1,""))</f>
        <v/>
      </c>
      <c r="D426" s="12"/>
    </row>
    <row r="427" customFormat="false" ht="15" hidden="false" customHeight="true" outlineLevel="0" collapsed="false">
      <c r="A427" s="12" t="str">
        <f aca="false">IF(Ducted!A132="","",TRIM(Ducted!A132))</f>
        <v/>
      </c>
      <c r="B427" s="12" t="str">
        <f aca="false">IF(A427="","",IF(COUNTIF(A$2:A427,A427)=1,MAX(B$1:B426)+1,""))</f>
        <v/>
      </c>
      <c r="D427" s="12"/>
    </row>
    <row r="428" customFormat="false" ht="15" hidden="false" customHeight="true" outlineLevel="0" collapsed="false">
      <c r="A428" s="12" t="str">
        <f aca="false">IF(Ducted!A133="","",TRIM(Ducted!A133))</f>
        <v/>
      </c>
      <c r="B428" s="12" t="str">
        <f aca="false">IF(A428="","",IF(COUNTIF(A$2:A428,A428)=1,MAX(B$1:B427)+1,""))</f>
        <v/>
      </c>
      <c r="D428" s="12"/>
    </row>
    <row r="429" customFormat="false" ht="15" hidden="false" customHeight="true" outlineLevel="0" collapsed="false">
      <c r="A429" s="12" t="str">
        <f aca="false">IF(Ducted!A134="","",TRIM(Ducted!A134))</f>
        <v/>
      </c>
      <c r="B429" s="12" t="str">
        <f aca="false">IF(A429="","",IF(COUNTIF(A$2:A429,A429)=1,MAX(B$1:B428)+1,""))</f>
        <v/>
      </c>
      <c r="D429" s="12"/>
    </row>
    <row r="430" customFormat="false" ht="15" hidden="false" customHeight="true" outlineLevel="0" collapsed="false">
      <c r="A430" s="12" t="str">
        <f aca="false">IF(Ducted!A135="","",TRIM(Ducted!A135))</f>
        <v/>
      </c>
      <c r="B430" s="12" t="str">
        <f aca="false">IF(A430="","",IF(COUNTIF(A$2:A430,A430)=1,MAX(B$1:B429)+1,""))</f>
        <v/>
      </c>
      <c r="D430" s="12"/>
    </row>
    <row r="431" customFormat="false" ht="15" hidden="false" customHeight="true" outlineLevel="0" collapsed="false">
      <c r="A431" s="12" t="str">
        <f aca="false">IF(Ducted!A136="","",TRIM(Ducted!A136))</f>
        <v/>
      </c>
      <c r="B431" s="12" t="str">
        <f aca="false">IF(A431="","",IF(COUNTIF(A$2:A431,A431)=1,MAX(B$1:B430)+1,""))</f>
        <v/>
      </c>
      <c r="D431" s="12"/>
    </row>
    <row r="432" customFormat="false" ht="15" hidden="false" customHeight="true" outlineLevel="0" collapsed="false">
      <c r="A432" s="12" t="str">
        <f aca="false">IF(Ducted!A137="","",TRIM(Ducted!A137))</f>
        <v/>
      </c>
      <c r="B432" s="12" t="str">
        <f aca="false">IF(A432="","",IF(COUNTIF(A$2:A432,A432)=1,MAX(B$1:B431)+1,""))</f>
        <v/>
      </c>
      <c r="D432" s="12"/>
    </row>
    <row r="433" customFormat="false" ht="15" hidden="false" customHeight="true" outlineLevel="0" collapsed="false">
      <c r="A433" s="12" t="str">
        <f aca="false">IF(Ducted!A138="","",TRIM(Ducted!A138))</f>
        <v/>
      </c>
      <c r="B433" s="12" t="str">
        <f aca="false">IF(A433="","",IF(COUNTIF(A$2:A433,A433)=1,MAX(B$1:B432)+1,""))</f>
        <v/>
      </c>
      <c r="D433" s="12"/>
    </row>
    <row r="434" customFormat="false" ht="15" hidden="false" customHeight="true" outlineLevel="0" collapsed="false">
      <c r="A434" s="12" t="str">
        <f aca="false">IF(Ducted!A139="","",TRIM(Ducted!A139))</f>
        <v/>
      </c>
      <c r="B434" s="12" t="str">
        <f aca="false">IF(A434="","",IF(COUNTIF(A$2:A434,A434)=1,MAX(B$1:B433)+1,""))</f>
        <v/>
      </c>
      <c r="D434" s="12"/>
    </row>
    <row r="435" customFormat="false" ht="15" hidden="false" customHeight="true" outlineLevel="0" collapsed="false">
      <c r="A435" s="12" t="str">
        <f aca="false">IF(Ducted!A140="","",TRIM(Ducted!A140))</f>
        <v/>
      </c>
      <c r="B435" s="12" t="str">
        <f aca="false">IF(A435="","",IF(COUNTIF(A$2:A435,A435)=1,MAX(B$1:B434)+1,""))</f>
        <v/>
      </c>
      <c r="D435" s="12"/>
    </row>
    <row r="436" customFormat="false" ht="15" hidden="false" customHeight="true" outlineLevel="0" collapsed="false">
      <c r="A436" s="12" t="str">
        <f aca="false">IF(Ducted!A141="","",TRIM(Ducted!A141))</f>
        <v/>
      </c>
      <c r="B436" s="12" t="str">
        <f aca="false">IF(A436="","",IF(COUNTIF(A$2:A436,A436)=1,MAX(B$1:B435)+1,""))</f>
        <v/>
      </c>
      <c r="D436" s="12"/>
    </row>
    <row r="437" customFormat="false" ht="15" hidden="false" customHeight="true" outlineLevel="0" collapsed="false">
      <c r="A437" s="12" t="str">
        <f aca="false">IF(Ducted!A142="","",TRIM(Ducted!A142))</f>
        <v/>
      </c>
      <c r="B437" s="12" t="str">
        <f aca="false">IF(A437="","",IF(COUNTIF(A$2:A437,A437)=1,MAX(B$1:B436)+1,""))</f>
        <v/>
      </c>
      <c r="D437" s="12"/>
    </row>
    <row r="438" customFormat="false" ht="15" hidden="false" customHeight="true" outlineLevel="0" collapsed="false">
      <c r="A438" s="12" t="str">
        <f aca="false">IF(Ducted!A143="","",TRIM(Ducted!A143))</f>
        <v/>
      </c>
      <c r="B438" s="12" t="str">
        <f aca="false">IF(A438="","",IF(COUNTIF(A$2:A438,A438)=1,MAX(B$1:B437)+1,""))</f>
        <v/>
      </c>
      <c r="D438" s="12"/>
    </row>
    <row r="439" customFormat="false" ht="15" hidden="false" customHeight="true" outlineLevel="0" collapsed="false">
      <c r="A439" s="12" t="str">
        <f aca="false">IF(Ducted!A144="","",TRIM(Ducted!A144))</f>
        <v/>
      </c>
      <c r="B439" s="12" t="str">
        <f aca="false">IF(A439="","",IF(COUNTIF(A$2:A439,A439)=1,MAX(B$1:B438)+1,""))</f>
        <v/>
      </c>
      <c r="D439" s="12"/>
    </row>
    <row r="440" customFormat="false" ht="15" hidden="false" customHeight="true" outlineLevel="0" collapsed="false">
      <c r="A440" s="12" t="str">
        <f aca="false">IF(Ducted!A145="","",TRIM(Ducted!A145))</f>
        <v/>
      </c>
      <c r="B440" s="12" t="str">
        <f aca="false">IF(A440="","",IF(COUNTIF(A$2:A440,A440)=1,MAX(B$1:B439)+1,""))</f>
        <v/>
      </c>
      <c r="D440" s="12"/>
    </row>
    <row r="441" customFormat="false" ht="15" hidden="false" customHeight="true" outlineLevel="0" collapsed="false">
      <c r="A441" s="12" t="str">
        <f aca="false">IF(Ducted!A146="","",TRIM(Ducted!A146))</f>
        <v/>
      </c>
      <c r="B441" s="12" t="str">
        <f aca="false">IF(A441="","",IF(COUNTIF(A$2:A441,A441)=1,MAX(B$1:B440)+1,""))</f>
        <v/>
      </c>
      <c r="D441" s="12"/>
    </row>
    <row r="442" customFormat="false" ht="15" hidden="false" customHeight="true" outlineLevel="0" collapsed="false">
      <c r="A442" s="12" t="str">
        <f aca="false">IF(Ducted!A147="","",TRIM(Ducted!A147))</f>
        <v/>
      </c>
      <c r="B442" s="12" t="str">
        <f aca="false">IF(A442="","",IF(COUNTIF(A$2:A442,A442)=1,MAX(B$1:B441)+1,""))</f>
        <v/>
      </c>
      <c r="D442" s="12"/>
    </row>
    <row r="443" customFormat="false" ht="15" hidden="false" customHeight="true" outlineLevel="0" collapsed="false">
      <c r="A443" s="12" t="str">
        <f aca="false">IF(Ducted!A148="","",TRIM(Ducted!A148))</f>
        <v/>
      </c>
      <c r="B443" s="12" t="str">
        <f aca="false">IF(A443="","",IF(COUNTIF(A$2:A443,A443)=1,MAX(B$1:B442)+1,""))</f>
        <v/>
      </c>
      <c r="D443" s="12"/>
    </row>
    <row r="444" customFormat="false" ht="15" hidden="false" customHeight="true" outlineLevel="0" collapsed="false">
      <c r="A444" s="12" t="str">
        <f aca="false">IF(Ducted!A149="","",TRIM(Ducted!A149))</f>
        <v/>
      </c>
      <c r="B444" s="12" t="str">
        <f aca="false">IF(A444="","",IF(COUNTIF(A$2:A444,A444)=1,MAX(B$1:B443)+1,""))</f>
        <v/>
      </c>
      <c r="D444" s="12"/>
    </row>
    <row r="445" customFormat="false" ht="15" hidden="false" customHeight="true" outlineLevel="0" collapsed="false">
      <c r="A445" s="12" t="str">
        <f aca="false">IF(Ducted!A150="","",TRIM(Ducted!A150))</f>
        <v/>
      </c>
      <c r="B445" s="12" t="str">
        <f aca="false">IF(A445="","",IF(COUNTIF(A$2:A445,A445)=1,MAX(B$1:B444)+1,""))</f>
        <v/>
      </c>
      <c r="D445" s="12"/>
    </row>
    <row r="446" customFormat="false" ht="15" hidden="false" customHeight="true" outlineLevel="0" collapsed="false">
      <c r="A446" s="12" t="str">
        <f aca="false">IF(Ducted!A151="","",TRIM(Ducted!A151))</f>
        <v/>
      </c>
      <c r="B446" s="12" t="str">
        <f aca="false">IF(A446="","",IF(COUNTIF(A$2:A446,A446)=1,MAX(B$1:B445)+1,""))</f>
        <v/>
      </c>
      <c r="D446" s="12"/>
    </row>
    <row r="447" customFormat="false" ht="15" hidden="false" customHeight="true" outlineLevel="0" collapsed="false">
      <c r="A447" s="12" t="str">
        <f aca="false">IF(Ducted!A152="","",TRIM(Ducted!A152))</f>
        <v/>
      </c>
      <c r="B447" s="12" t="str">
        <f aca="false">IF(A447="","",IF(COUNTIF(A$2:A447,A447)=1,MAX(B$1:B446)+1,""))</f>
        <v/>
      </c>
      <c r="D447" s="12"/>
    </row>
    <row r="448" customFormat="false" ht="15" hidden="false" customHeight="true" outlineLevel="0" collapsed="false">
      <c r="A448" s="12" t="str">
        <f aca="false">IF(Ducted!A153="","",TRIM(Ducted!A153))</f>
        <v/>
      </c>
      <c r="B448" s="12" t="str">
        <f aca="false">IF(A448="","",IF(COUNTIF(A$2:A448,A448)=1,MAX(B$1:B447)+1,""))</f>
        <v/>
      </c>
      <c r="D448" s="12"/>
    </row>
    <row r="449" customFormat="false" ht="15" hidden="false" customHeight="true" outlineLevel="0" collapsed="false">
      <c r="A449" s="12" t="str">
        <f aca="false">IF(Ducted!A154="","",TRIM(Ducted!A154))</f>
        <v/>
      </c>
      <c r="B449" s="12" t="str">
        <f aca="false">IF(A449="","",IF(COUNTIF(A$2:A449,A449)=1,MAX(B$1:B448)+1,""))</f>
        <v/>
      </c>
      <c r="D449" s="12"/>
    </row>
    <row r="450" customFormat="false" ht="15" hidden="false" customHeight="true" outlineLevel="0" collapsed="false">
      <c r="A450" s="12" t="str">
        <f aca="false">IF(Ducted!A155="","",TRIM(Ducted!A155))</f>
        <v/>
      </c>
      <c r="B450" s="12" t="str">
        <f aca="false">IF(A450="","",IF(COUNTIF(A$2:A450,A450)=1,MAX(B$1:B449)+1,""))</f>
        <v/>
      </c>
      <c r="D450" s="12"/>
    </row>
    <row r="451" customFormat="false" ht="15" hidden="false" customHeight="true" outlineLevel="0" collapsed="false">
      <c r="A451" s="12" t="str">
        <f aca="false">IF(Ducted!A156="","",TRIM(Ducted!A156))</f>
        <v/>
      </c>
      <c r="B451" s="12" t="str">
        <f aca="false">IF(A451="","",IF(COUNTIF(A$2:A451,A451)=1,MAX(B$1:B450)+1,""))</f>
        <v/>
      </c>
      <c r="D451" s="12"/>
    </row>
    <row r="452" customFormat="false" ht="15" hidden="false" customHeight="true" outlineLevel="0" collapsed="false">
      <c r="A452" s="12" t="str">
        <f aca="false">IF(Ducted!A157="","",TRIM(Ducted!A157))</f>
        <v/>
      </c>
      <c r="B452" s="12" t="str">
        <f aca="false">IF(A452="","",IF(COUNTIF(A$2:A452,A452)=1,MAX(B$1:B451)+1,""))</f>
        <v/>
      </c>
      <c r="D452" s="12"/>
    </row>
    <row r="453" customFormat="false" ht="15" hidden="false" customHeight="true" outlineLevel="0" collapsed="false">
      <c r="A453" s="12" t="str">
        <f aca="false">IF(Ducted!A158="","",TRIM(Ducted!A158))</f>
        <v/>
      </c>
      <c r="B453" s="12" t="str">
        <f aca="false">IF(A453="","",IF(COUNTIF(A$2:A453,A453)=1,MAX(B$1:B452)+1,""))</f>
        <v/>
      </c>
      <c r="D453" s="12"/>
    </row>
    <row r="454" customFormat="false" ht="15" hidden="false" customHeight="true" outlineLevel="0" collapsed="false">
      <c r="A454" s="12" t="str">
        <f aca="false">IF(Ducted!A159="","",TRIM(Ducted!A159))</f>
        <v/>
      </c>
      <c r="B454" s="12" t="str">
        <f aca="false">IF(A454="","",IF(COUNTIF(A$2:A454,A454)=1,MAX(B$1:B453)+1,""))</f>
        <v/>
      </c>
      <c r="D454" s="12"/>
    </row>
    <row r="455" customFormat="false" ht="15" hidden="false" customHeight="true" outlineLevel="0" collapsed="false">
      <c r="A455" s="12" t="str">
        <f aca="false">IF(Ducted!A160="","",TRIM(Ducted!A160))</f>
        <v/>
      </c>
      <c r="B455" s="12" t="str">
        <f aca="false">IF(A455="","",IF(COUNTIF(A$2:A455,A455)=1,MAX(B$1:B454)+1,""))</f>
        <v/>
      </c>
      <c r="D455" s="12"/>
    </row>
    <row r="456" customFormat="false" ht="15" hidden="false" customHeight="true" outlineLevel="0" collapsed="false">
      <c r="A456" s="12" t="str">
        <f aca="false">IF(Ducted!A161="","",TRIM(Ducted!A161))</f>
        <v/>
      </c>
      <c r="B456" s="12" t="str">
        <f aca="false">IF(A456="","",IF(COUNTIF(A$2:A456,A456)=1,MAX(B$1:B455)+1,""))</f>
        <v/>
      </c>
      <c r="D456" s="12"/>
    </row>
    <row r="457" customFormat="false" ht="15" hidden="false" customHeight="true" outlineLevel="0" collapsed="false">
      <c r="A457" s="12" t="str">
        <f aca="false">IF(Ducted!A162="","",TRIM(Ducted!A162))</f>
        <v/>
      </c>
      <c r="B457" s="12" t="str">
        <f aca="false">IF(A457="","",IF(COUNTIF(A$2:A457,A457)=1,MAX(B$1:B456)+1,""))</f>
        <v/>
      </c>
      <c r="D457" s="12"/>
    </row>
    <row r="458" customFormat="false" ht="15" hidden="false" customHeight="true" outlineLevel="0" collapsed="false">
      <c r="A458" s="12" t="str">
        <f aca="false">IF(Ducted!A163="","",TRIM(Ducted!A163))</f>
        <v/>
      </c>
      <c r="B458" s="12" t="str">
        <f aca="false">IF(A458="","",IF(COUNTIF(A$2:A458,A458)=1,MAX(B$1:B457)+1,""))</f>
        <v/>
      </c>
      <c r="D458" s="12"/>
    </row>
    <row r="459" customFormat="false" ht="15" hidden="false" customHeight="true" outlineLevel="0" collapsed="false">
      <c r="A459" s="12" t="str">
        <f aca="false">IF(Ducted!A164="","",TRIM(Ducted!A164))</f>
        <v/>
      </c>
      <c r="B459" s="12" t="str">
        <f aca="false">IF(A459="","",IF(COUNTIF(A$2:A459,A459)=1,MAX(B$1:B458)+1,""))</f>
        <v/>
      </c>
      <c r="D459" s="12"/>
    </row>
    <row r="460" customFormat="false" ht="15" hidden="false" customHeight="true" outlineLevel="0" collapsed="false">
      <c r="A460" s="12" t="str">
        <f aca="false">IF(Ducted!A165="","",TRIM(Ducted!A165))</f>
        <v/>
      </c>
      <c r="B460" s="12" t="str">
        <f aca="false">IF(A460="","",IF(COUNTIF(A$2:A460,A460)=1,MAX(B$1:B459)+1,""))</f>
        <v/>
      </c>
      <c r="D460" s="12"/>
    </row>
    <row r="461" customFormat="false" ht="15" hidden="false" customHeight="true" outlineLevel="0" collapsed="false">
      <c r="A461" s="12" t="str">
        <f aca="false">IF(Ducted!A166="","",TRIM(Ducted!A166))</f>
        <v/>
      </c>
      <c r="B461" s="12" t="str">
        <f aca="false">IF(A461="","",IF(COUNTIF(A$2:A461,A461)=1,MAX(B$1:B460)+1,""))</f>
        <v/>
      </c>
      <c r="D461" s="12"/>
    </row>
    <row r="462" customFormat="false" ht="15" hidden="false" customHeight="true" outlineLevel="0" collapsed="false">
      <c r="A462" s="12" t="str">
        <f aca="false">IF(Ducted!A167="","",TRIM(Ducted!A167))</f>
        <v/>
      </c>
      <c r="B462" s="12" t="str">
        <f aca="false">IF(A462="","",IF(COUNTIF(A$2:A462,A462)=1,MAX(B$1:B461)+1,""))</f>
        <v/>
      </c>
      <c r="D462" s="12"/>
    </row>
    <row r="463" customFormat="false" ht="15" hidden="false" customHeight="true" outlineLevel="0" collapsed="false">
      <c r="A463" s="12" t="str">
        <f aca="false">IF(Ducted!A168="","",TRIM(Ducted!A168))</f>
        <v/>
      </c>
      <c r="B463" s="12" t="str">
        <f aca="false">IF(A463="","",IF(COUNTIF(A$2:A463,A463)=1,MAX(B$1:B462)+1,""))</f>
        <v/>
      </c>
      <c r="D463" s="12"/>
    </row>
    <row r="464" customFormat="false" ht="15" hidden="false" customHeight="true" outlineLevel="0" collapsed="false">
      <c r="A464" s="12" t="str">
        <f aca="false">IF(Ducted!A169="","",TRIM(Ducted!A169))</f>
        <v/>
      </c>
      <c r="B464" s="12" t="str">
        <f aca="false">IF(A464="","",IF(COUNTIF(A$2:A464,A464)=1,MAX(B$1:B463)+1,""))</f>
        <v/>
      </c>
      <c r="D464" s="12"/>
    </row>
    <row r="465" customFormat="false" ht="15" hidden="false" customHeight="true" outlineLevel="0" collapsed="false">
      <c r="A465" s="12" t="str">
        <f aca="false">IF(Ducted!A170="","",TRIM(Ducted!A170))</f>
        <v/>
      </c>
      <c r="B465" s="12" t="str">
        <f aca="false">IF(A465="","",IF(COUNTIF(A$2:A465,A465)=1,MAX(B$1:B464)+1,""))</f>
        <v/>
      </c>
      <c r="D465" s="12"/>
    </row>
    <row r="466" customFormat="false" ht="15" hidden="false" customHeight="true" outlineLevel="0" collapsed="false">
      <c r="A466" s="12" t="str">
        <f aca="false">IF(Ducted!A171="","",TRIM(Ducted!A171))</f>
        <v/>
      </c>
      <c r="B466" s="12" t="str">
        <f aca="false">IF(A466="","",IF(COUNTIF(A$2:A466,A466)=1,MAX(B$1:B465)+1,""))</f>
        <v/>
      </c>
      <c r="D466" s="12"/>
    </row>
    <row r="467" customFormat="false" ht="15" hidden="false" customHeight="true" outlineLevel="0" collapsed="false">
      <c r="A467" s="12" t="str">
        <f aca="false">IF(Ducted!A172="","",TRIM(Ducted!A172))</f>
        <v/>
      </c>
      <c r="B467" s="12" t="str">
        <f aca="false">IF(A467="","",IF(COUNTIF(A$2:A467,A467)=1,MAX(B$1:B466)+1,""))</f>
        <v/>
      </c>
      <c r="D467" s="12"/>
    </row>
    <row r="468" customFormat="false" ht="15" hidden="false" customHeight="true" outlineLevel="0" collapsed="false">
      <c r="A468" s="12" t="str">
        <f aca="false">IF(Ducted!A173="","",TRIM(Ducted!A173))</f>
        <v/>
      </c>
      <c r="B468" s="12" t="str">
        <f aca="false">IF(A468="","",IF(COUNTIF(A$2:A468,A468)=1,MAX(B$1:B467)+1,""))</f>
        <v/>
      </c>
      <c r="D468" s="12"/>
    </row>
    <row r="469" customFormat="false" ht="15" hidden="false" customHeight="true" outlineLevel="0" collapsed="false">
      <c r="A469" s="12" t="str">
        <f aca="false">IF(Ducted!A174="","",TRIM(Ducted!A174))</f>
        <v/>
      </c>
      <c r="B469" s="12" t="str">
        <f aca="false">IF(A469="","",IF(COUNTIF(A$2:A469,A469)=1,MAX(B$1:B468)+1,""))</f>
        <v/>
      </c>
      <c r="D469" s="12"/>
    </row>
    <row r="470" customFormat="false" ht="15" hidden="false" customHeight="true" outlineLevel="0" collapsed="false">
      <c r="A470" s="12" t="str">
        <f aca="false">IF(Ducted!A175="","",TRIM(Ducted!A175))</f>
        <v/>
      </c>
      <c r="B470" s="12" t="str">
        <f aca="false">IF(A470="","",IF(COUNTIF(A$2:A470,A470)=1,MAX(B$1:B469)+1,""))</f>
        <v/>
      </c>
      <c r="D470" s="12"/>
    </row>
    <row r="471" customFormat="false" ht="15" hidden="false" customHeight="true" outlineLevel="0" collapsed="false">
      <c r="A471" s="12" t="str">
        <f aca="false">IF(Ducted!A176="","",TRIM(Ducted!A176))</f>
        <v/>
      </c>
      <c r="B471" s="12" t="str">
        <f aca="false">IF(A471="","",IF(COUNTIF(A$2:A471,A471)=1,MAX(B$1:B470)+1,""))</f>
        <v/>
      </c>
      <c r="D471" s="12"/>
    </row>
    <row r="472" customFormat="false" ht="15" hidden="false" customHeight="true" outlineLevel="0" collapsed="false">
      <c r="A472" s="12" t="str">
        <f aca="false">IF(Ducted!A177="","",TRIM(Ducted!A177))</f>
        <v/>
      </c>
      <c r="B472" s="12" t="str">
        <f aca="false">IF(A472="","",IF(COUNTIF(A$2:A472,A472)=1,MAX(B$1:B471)+1,""))</f>
        <v/>
      </c>
      <c r="D472" s="12"/>
    </row>
    <row r="473" customFormat="false" ht="15" hidden="false" customHeight="true" outlineLevel="0" collapsed="false">
      <c r="A473" s="12" t="str">
        <f aca="false">IF(Ducted!A178="","",TRIM(Ducted!A178))</f>
        <v/>
      </c>
      <c r="B473" s="12" t="str">
        <f aca="false">IF(A473="","",IF(COUNTIF(A$2:A473,A473)=1,MAX(B$1:B472)+1,""))</f>
        <v/>
      </c>
      <c r="D473" s="12"/>
    </row>
    <row r="474" customFormat="false" ht="15" hidden="false" customHeight="true" outlineLevel="0" collapsed="false">
      <c r="A474" s="12" t="str">
        <f aca="false">IF(Ducted!A179="","",TRIM(Ducted!A179))</f>
        <v/>
      </c>
      <c r="B474" s="12" t="str">
        <f aca="false">IF(A474="","",IF(COUNTIF(A$2:A474,A474)=1,MAX(B$1:B473)+1,""))</f>
        <v/>
      </c>
      <c r="D474" s="12"/>
    </row>
    <row r="475" customFormat="false" ht="15" hidden="false" customHeight="true" outlineLevel="0" collapsed="false">
      <c r="A475" s="12" t="str">
        <f aca="false">IF(Ducted!A180="","",TRIM(Ducted!A180))</f>
        <v/>
      </c>
      <c r="B475" s="12" t="str">
        <f aca="false">IF(A475="","",IF(COUNTIF(A$2:A475,A475)=1,MAX(B$1:B474)+1,""))</f>
        <v/>
      </c>
      <c r="D475" s="12"/>
    </row>
    <row r="476" customFormat="false" ht="15" hidden="false" customHeight="true" outlineLevel="0" collapsed="false">
      <c r="A476" s="12" t="str">
        <f aca="false">IF(Ducted!A181="","",TRIM(Ducted!A181))</f>
        <v/>
      </c>
      <c r="B476" s="12" t="str">
        <f aca="false">IF(A476="","",IF(COUNTIF(A$2:A476,A476)=1,MAX(B$1:B475)+1,""))</f>
        <v/>
      </c>
      <c r="D476" s="12"/>
    </row>
    <row r="477" customFormat="false" ht="15" hidden="false" customHeight="true" outlineLevel="0" collapsed="false">
      <c r="A477" s="12" t="str">
        <f aca="false">IF(Ducted!A182="","",TRIM(Ducted!A182))</f>
        <v/>
      </c>
      <c r="B477" s="12" t="str">
        <f aca="false">IF(A477="","",IF(COUNTIF(A$2:A477,A477)=1,MAX(B$1:B476)+1,""))</f>
        <v/>
      </c>
      <c r="D477" s="12"/>
    </row>
    <row r="478" customFormat="false" ht="15" hidden="false" customHeight="true" outlineLevel="0" collapsed="false">
      <c r="A478" s="12" t="str">
        <f aca="false">IF(Ducted!A183="","",TRIM(Ducted!A183))</f>
        <v/>
      </c>
      <c r="B478" s="12" t="str">
        <f aca="false">IF(A478="","",IF(COUNTIF(A$2:A478,A478)=1,MAX(B$1:B477)+1,""))</f>
        <v/>
      </c>
      <c r="D478" s="12"/>
    </row>
    <row r="479" customFormat="false" ht="15" hidden="false" customHeight="true" outlineLevel="0" collapsed="false">
      <c r="A479" s="12" t="str">
        <f aca="false">IF(Ducted!A184="","",TRIM(Ducted!A184))</f>
        <v/>
      </c>
      <c r="B479" s="12" t="str">
        <f aca="false">IF(A479="","",IF(COUNTIF(A$2:A479,A479)=1,MAX(B$1:B478)+1,""))</f>
        <v/>
      </c>
      <c r="D479" s="12"/>
    </row>
    <row r="480" customFormat="false" ht="15" hidden="false" customHeight="true" outlineLevel="0" collapsed="false">
      <c r="A480" s="12" t="str">
        <f aca="false">IF(Ducted!A185="","",TRIM(Ducted!A185))</f>
        <v/>
      </c>
      <c r="B480" s="12" t="str">
        <f aca="false">IF(A480="","",IF(COUNTIF(A$2:A480,A480)=1,MAX(B$1:B479)+1,""))</f>
        <v/>
      </c>
      <c r="D480" s="12"/>
    </row>
    <row r="481" customFormat="false" ht="15" hidden="false" customHeight="true" outlineLevel="0" collapsed="false">
      <c r="A481" s="12" t="str">
        <f aca="false">IF(Ducted!A186="","",TRIM(Ducted!A186))</f>
        <v/>
      </c>
      <c r="B481" s="12" t="str">
        <f aca="false">IF(A481="","",IF(COUNTIF(A$2:A481,A481)=1,MAX(B$1:B480)+1,""))</f>
        <v/>
      </c>
      <c r="D481" s="12"/>
    </row>
    <row r="482" customFormat="false" ht="15" hidden="false" customHeight="true" outlineLevel="0" collapsed="false">
      <c r="A482" s="12" t="str">
        <f aca="false">IF(Ducted!A187="","",TRIM(Ducted!A187))</f>
        <v/>
      </c>
      <c r="B482" s="12" t="str">
        <f aca="false">IF(A482="","",IF(COUNTIF(A$2:A482,A482)=1,MAX(B$1:B481)+1,""))</f>
        <v/>
      </c>
      <c r="D482" s="12"/>
    </row>
    <row r="483" customFormat="false" ht="15" hidden="false" customHeight="true" outlineLevel="0" collapsed="false">
      <c r="A483" s="12" t="str">
        <f aca="false">IF(Ducted!A188="","",TRIM(Ducted!A188))</f>
        <v/>
      </c>
      <c r="B483" s="12" t="str">
        <f aca="false">IF(A483="","",IF(COUNTIF(A$2:A483,A483)=1,MAX(B$1:B482)+1,""))</f>
        <v/>
      </c>
      <c r="D483" s="12"/>
    </row>
    <row r="484" customFormat="false" ht="15" hidden="false" customHeight="true" outlineLevel="0" collapsed="false">
      <c r="A484" s="12" t="str">
        <f aca="false">IF(Ducted!A189="","",TRIM(Ducted!A189))</f>
        <v/>
      </c>
      <c r="B484" s="12" t="str">
        <f aca="false">IF(A484="","",IF(COUNTIF(A$2:A484,A484)=1,MAX(B$1:B483)+1,""))</f>
        <v/>
      </c>
      <c r="D484" s="12"/>
    </row>
    <row r="485" customFormat="false" ht="15" hidden="false" customHeight="true" outlineLevel="0" collapsed="false">
      <c r="A485" s="12" t="str">
        <f aca="false">IF(Ducted!A190="","",TRIM(Ducted!A190))</f>
        <v/>
      </c>
      <c r="B485" s="12" t="str">
        <f aca="false">IF(A485="","",IF(COUNTIF(A$2:A485,A485)=1,MAX(B$1:B484)+1,""))</f>
        <v/>
      </c>
      <c r="D485" s="12"/>
    </row>
    <row r="486" customFormat="false" ht="15" hidden="false" customHeight="true" outlineLevel="0" collapsed="false">
      <c r="A486" s="12" t="str">
        <f aca="false">IF(Ducted!A191="","",TRIM(Ducted!A191))</f>
        <v/>
      </c>
      <c r="B486" s="12" t="str">
        <f aca="false">IF(A486="","",IF(COUNTIF(A$2:A486,A486)=1,MAX(B$1:B485)+1,""))</f>
        <v/>
      </c>
      <c r="D486" s="12"/>
    </row>
    <row r="487" customFormat="false" ht="15" hidden="false" customHeight="true" outlineLevel="0" collapsed="false">
      <c r="A487" s="12" t="str">
        <f aca="false">IF(Ducted!A192="","",TRIM(Ducted!A192))</f>
        <v/>
      </c>
      <c r="B487" s="12" t="str">
        <f aca="false">IF(A487="","",IF(COUNTIF(A$2:A487,A487)=1,MAX(B$1:B486)+1,""))</f>
        <v/>
      </c>
      <c r="D487" s="12"/>
    </row>
    <row r="488" customFormat="false" ht="15" hidden="false" customHeight="true" outlineLevel="0" collapsed="false">
      <c r="A488" s="12" t="str">
        <f aca="false">IF(Ducted!A193="","",TRIM(Ducted!A193))</f>
        <v/>
      </c>
      <c r="B488" s="12" t="str">
        <f aca="false">IF(A488="","",IF(COUNTIF(A$2:A488,A488)=1,MAX(B$1:B487)+1,""))</f>
        <v/>
      </c>
      <c r="D488" s="12"/>
    </row>
    <row r="489" customFormat="false" ht="15" hidden="false" customHeight="true" outlineLevel="0" collapsed="false">
      <c r="A489" s="12" t="str">
        <f aca="false">IF(Ducted!A194="","",TRIM(Ducted!A194))</f>
        <v/>
      </c>
      <c r="B489" s="12" t="str">
        <f aca="false">IF(A489="","",IF(COUNTIF(A$2:A489,A489)=1,MAX(B$1:B488)+1,""))</f>
        <v/>
      </c>
      <c r="D489" s="12"/>
    </row>
    <row r="490" customFormat="false" ht="15" hidden="false" customHeight="true" outlineLevel="0" collapsed="false">
      <c r="A490" s="12" t="str">
        <f aca="false">IF(Ducted!A195="","",TRIM(Ducted!A195))</f>
        <v/>
      </c>
      <c r="B490" s="12" t="str">
        <f aca="false">IF(A490="","",IF(COUNTIF(A$2:A490,A490)=1,MAX(B$1:B489)+1,""))</f>
        <v/>
      </c>
      <c r="D490" s="12"/>
    </row>
    <row r="491" customFormat="false" ht="15" hidden="false" customHeight="true" outlineLevel="0" collapsed="false">
      <c r="A491" s="12" t="str">
        <f aca="false">IF(Ducted!A196="","",TRIM(Ducted!A196))</f>
        <v/>
      </c>
      <c r="B491" s="12" t="str">
        <f aca="false">IF(A491="","",IF(COUNTIF(A$2:A491,A491)=1,MAX(B$1:B490)+1,""))</f>
        <v/>
      </c>
      <c r="D491" s="12"/>
    </row>
    <row r="492" customFormat="false" ht="15" hidden="false" customHeight="true" outlineLevel="0" collapsed="false">
      <c r="A492" s="12" t="str">
        <f aca="false">IF(Ducted!A197="","",TRIM(Ducted!A197))</f>
        <v/>
      </c>
      <c r="B492" s="12" t="str">
        <f aca="false">IF(A492="","",IF(COUNTIF(A$2:A492,A492)=1,MAX(B$1:B491)+1,""))</f>
        <v/>
      </c>
      <c r="D492" s="12"/>
    </row>
    <row r="493" customFormat="false" ht="15" hidden="false" customHeight="true" outlineLevel="0" collapsed="false">
      <c r="A493" s="12" t="str">
        <f aca="false">IF(Ducted!A198="","",TRIM(Ducted!A198))</f>
        <v/>
      </c>
      <c r="B493" s="12" t="str">
        <f aca="false">IF(A493="","",IF(COUNTIF(A$2:A493,A493)=1,MAX(B$1:B492)+1,""))</f>
        <v/>
      </c>
      <c r="D493" s="12"/>
    </row>
    <row r="494" customFormat="false" ht="15" hidden="false" customHeight="true" outlineLevel="0" collapsed="false">
      <c r="A494" s="12" t="str">
        <f aca="false">IF(Ducted!A199="","",TRIM(Ducted!A199))</f>
        <v/>
      </c>
      <c r="B494" s="12" t="str">
        <f aca="false">IF(A494="","",IF(COUNTIF(A$2:A494,A494)=1,MAX(B$1:B493)+1,""))</f>
        <v/>
      </c>
      <c r="D494" s="12"/>
    </row>
    <row r="495" customFormat="false" ht="15" hidden="false" customHeight="true" outlineLevel="0" collapsed="false">
      <c r="A495" s="12" t="str">
        <f aca="false">IF(Ducted!A200="","",TRIM(Ducted!A200))</f>
        <v/>
      </c>
      <c r="B495" s="12" t="str">
        <f aca="false">IF(A495="","",IF(COUNTIF(A$2:A495,A495)=1,MAX(B$1:B494)+1,""))</f>
        <v/>
      </c>
      <c r="D495" s="12"/>
    </row>
    <row r="496" customFormat="false" ht="15" hidden="false" customHeight="true" outlineLevel="0" collapsed="false">
      <c r="A496" s="12" t="str">
        <f aca="false">IF(Ducted!A201="","",TRIM(Ducted!A201))</f>
        <v/>
      </c>
      <c r="B496" s="12" t="str">
        <f aca="false">IF(A496="","",IF(COUNTIF(A$2:A496,A496)=1,MAX(B$1:B495)+1,""))</f>
        <v/>
      </c>
      <c r="D496" s="12"/>
    </row>
    <row r="497" customFormat="false" ht="15" hidden="false" customHeight="true" outlineLevel="0" collapsed="false">
      <c r="A497" s="12" t="str">
        <f aca="false">IF(Ducted!A202="","",TRIM(Ducted!A202))</f>
        <v/>
      </c>
      <c r="B497" s="12" t="str">
        <f aca="false">IF(A497="","",IF(COUNTIF(A$2:A497,A497)=1,MAX(B$1:B496)+1,""))</f>
        <v/>
      </c>
      <c r="D497" s="12"/>
    </row>
    <row r="498" customFormat="false" ht="15" hidden="false" customHeight="true" outlineLevel="0" collapsed="false">
      <c r="A498" s="12" t="str">
        <f aca="false">IF(Ducted!A203="","",TRIM(Ducted!A203))</f>
        <v/>
      </c>
      <c r="B498" s="12" t="str">
        <f aca="false">IF(A498="","",IF(COUNTIF(A$2:A498,A498)=1,MAX(B$1:B497)+1,""))</f>
        <v/>
      </c>
      <c r="D498" s="12"/>
    </row>
    <row r="499" customFormat="false" ht="15" hidden="false" customHeight="true" outlineLevel="0" collapsed="false">
      <c r="A499" s="12" t="str">
        <f aca="false">IF(Ducted!A204="","",TRIM(Ducted!A204))</f>
        <v/>
      </c>
      <c r="B499" s="12" t="str">
        <f aca="false">IF(A499="","",IF(COUNTIF(A$2:A499,A499)=1,MAX(B$1:B498)+1,""))</f>
        <v/>
      </c>
      <c r="D499" s="12"/>
    </row>
    <row r="500" customFormat="false" ht="15" hidden="false" customHeight="true" outlineLevel="0" collapsed="false">
      <c r="A500" s="12" t="str">
        <f aca="false">IF(Ducted!A205="","",TRIM(Ducted!A205))</f>
        <v/>
      </c>
      <c r="B500" s="12" t="str">
        <f aca="false">IF(A500="","",IF(COUNTIF(A$2:A500,A500)=1,MAX(B$1:B499)+1,""))</f>
        <v/>
      </c>
      <c r="D500" s="12"/>
    </row>
    <row r="501" customFormat="false" ht="15" hidden="false" customHeight="true" outlineLevel="0" collapsed="false">
      <c r="A501" s="12" t="str">
        <f aca="false">IF(Ducted!A206="","",TRIM(Ducted!A206))</f>
        <v/>
      </c>
      <c r="B501" s="12" t="str">
        <f aca="false">IF(A501="","",IF(COUNTIF(A$2:A501,A501)=1,MAX(B$1:B500)+1,""))</f>
        <v/>
      </c>
      <c r="D501" s="12"/>
    </row>
    <row r="502" customFormat="false" ht="15" hidden="false" customHeight="true" outlineLevel="0" collapsed="false">
      <c r="A502" s="12" t="str">
        <f aca="false">IF(Ducted!A207="","",TRIM(Ducted!A207))</f>
        <v/>
      </c>
      <c r="B502" s="12" t="str">
        <f aca="false">IF(A502="","",IF(COUNTIF(A$2:A502,A502)=1,MAX(B$1:B501)+1,""))</f>
        <v/>
      </c>
      <c r="D502" s="12"/>
    </row>
    <row r="503" customFormat="false" ht="15" hidden="false" customHeight="true" outlineLevel="0" collapsed="false">
      <c r="A503" s="12" t="str">
        <f aca="false">IF(Ducted!A208="","",TRIM(Ducted!A208))</f>
        <v/>
      </c>
      <c r="B503" s="12" t="str">
        <f aca="false">IF(A503="","",IF(COUNTIF(A$2:A503,A503)=1,MAX(B$1:B502)+1,""))</f>
        <v/>
      </c>
      <c r="D503" s="12"/>
    </row>
    <row r="504" customFormat="false" ht="15" hidden="false" customHeight="true" outlineLevel="0" collapsed="false">
      <c r="A504" s="12" t="str">
        <f aca="false">IF(Ducted!A209="","",TRIM(Ducted!A209))</f>
        <v/>
      </c>
      <c r="B504" s="12" t="str">
        <f aca="false">IF(A504="","",IF(COUNTIF(A$2:A504,A504)=1,MAX(B$1:B503)+1,""))</f>
        <v/>
      </c>
      <c r="D504" s="12"/>
    </row>
    <row r="505" customFormat="false" ht="15" hidden="false" customHeight="true" outlineLevel="0" collapsed="false">
      <c r="A505" s="12" t="str">
        <f aca="false">IF(Ducted!A210="","",TRIM(Ducted!A210))</f>
        <v/>
      </c>
      <c r="B505" s="12" t="str">
        <f aca="false">IF(A505="","",IF(COUNTIF(A$2:A505,A505)=1,MAX(B$1:B504)+1,""))</f>
        <v/>
      </c>
      <c r="D505" s="12"/>
    </row>
    <row r="506" customFormat="false" ht="15" hidden="false" customHeight="true" outlineLevel="0" collapsed="false">
      <c r="A506" s="12" t="str">
        <f aca="false">IF(Ducted!A211="","",TRIM(Ducted!A211))</f>
        <v/>
      </c>
      <c r="B506" s="12" t="str">
        <f aca="false">IF(A506="","",IF(COUNTIF(A$2:A506,A506)=1,MAX(B$1:B505)+1,""))</f>
        <v/>
      </c>
      <c r="D506" s="12"/>
    </row>
    <row r="507" customFormat="false" ht="15" hidden="false" customHeight="true" outlineLevel="0" collapsed="false">
      <c r="A507" s="12" t="str">
        <f aca="false">IF(Ducted!A212="","",TRIM(Ducted!A212))</f>
        <v/>
      </c>
      <c r="B507" s="12" t="str">
        <f aca="false">IF(A507="","",IF(COUNTIF(A$2:A507,A507)=1,MAX(B$1:B506)+1,""))</f>
        <v/>
      </c>
      <c r="D507" s="12"/>
    </row>
    <row r="508" customFormat="false" ht="15" hidden="false" customHeight="true" outlineLevel="0" collapsed="false">
      <c r="A508" s="12" t="str">
        <f aca="false">IF(Ducted!A213="","",TRIM(Ducted!A213))</f>
        <v/>
      </c>
      <c r="B508" s="12" t="str">
        <f aca="false">IF(A508="","",IF(COUNTIF(A$2:A508,A508)=1,MAX(B$1:B507)+1,""))</f>
        <v/>
      </c>
      <c r="D508" s="12"/>
    </row>
    <row r="509" customFormat="false" ht="15" hidden="false" customHeight="true" outlineLevel="0" collapsed="false">
      <c r="A509" s="12" t="str">
        <f aca="false">IF(Ducted!A214="","",TRIM(Ducted!A214))</f>
        <v/>
      </c>
      <c r="B509" s="12" t="str">
        <f aca="false">IF(A509="","",IF(COUNTIF(A$2:A509,A509)=1,MAX(B$1:B508)+1,""))</f>
        <v/>
      </c>
      <c r="D509" s="12"/>
    </row>
    <row r="510" customFormat="false" ht="15" hidden="false" customHeight="true" outlineLevel="0" collapsed="false">
      <c r="A510" s="12" t="str">
        <f aca="false">IF(Ducted!A215="","",TRIM(Ducted!A215))</f>
        <v/>
      </c>
      <c r="B510" s="12" t="str">
        <f aca="false">IF(A510="","",IF(COUNTIF(A$2:A510,A510)=1,MAX(B$1:B509)+1,""))</f>
        <v/>
      </c>
      <c r="D510" s="12"/>
    </row>
    <row r="511" customFormat="false" ht="15" hidden="false" customHeight="true" outlineLevel="0" collapsed="false">
      <c r="A511" s="12" t="str">
        <f aca="false">IF(Ducted!A216="","",TRIM(Ducted!A216))</f>
        <v/>
      </c>
      <c r="B511" s="12" t="str">
        <f aca="false">IF(A511="","",IF(COUNTIF(A$2:A511,A511)=1,MAX(B$1:B510)+1,""))</f>
        <v/>
      </c>
      <c r="D511" s="12"/>
    </row>
    <row r="512" customFormat="false" ht="15" hidden="false" customHeight="true" outlineLevel="0" collapsed="false">
      <c r="A512" s="12" t="str">
        <f aca="false">IF(Ducted!A217="","",TRIM(Ducted!A217))</f>
        <v/>
      </c>
      <c r="B512" s="12" t="str">
        <f aca="false">IF(A512="","",IF(COUNTIF(A$2:A512,A512)=1,MAX(B$1:B511)+1,""))</f>
        <v/>
      </c>
      <c r="D512" s="12"/>
    </row>
    <row r="513" customFormat="false" ht="15" hidden="false" customHeight="true" outlineLevel="0" collapsed="false">
      <c r="A513" s="12" t="str">
        <f aca="false">IF(Ducted!A218="","",TRIM(Ducted!A218))</f>
        <v/>
      </c>
      <c r="B513" s="12" t="str">
        <f aca="false">IF(A513="","",IF(COUNTIF(A$2:A513,A513)=1,MAX(B$1:B512)+1,""))</f>
        <v/>
      </c>
      <c r="D513" s="12"/>
    </row>
    <row r="514" customFormat="false" ht="15" hidden="false" customHeight="true" outlineLevel="0" collapsed="false">
      <c r="A514" s="12" t="str">
        <f aca="false">IF(Ducted!A219="","",TRIM(Ducted!A219))</f>
        <v/>
      </c>
      <c r="B514" s="12" t="str">
        <f aca="false">IF(A514="","",IF(COUNTIF(A$2:A514,A514)=1,MAX(B$1:B513)+1,""))</f>
        <v/>
      </c>
      <c r="D514" s="12"/>
    </row>
    <row r="515" customFormat="false" ht="15" hidden="false" customHeight="true" outlineLevel="0" collapsed="false">
      <c r="A515" s="12" t="str">
        <f aca="false">IF(Ducted!A220="","",TRIM(Ducted!A220))</f>
        <v/>
      </c>
      <c r="B515" s="12" t="str">
        <f aca="false">IF(A515="","",IF(COUNTIF(A$2:A515,A515)=1,MAX(B$1:B514)+1,""))</f>
        <v/>
      </c>
      <c r="D515" s="12"/>
    </row>
    <row r="516" customFormat="false" ht="15" hidden="false" customHeight="true" outlineLevel="0" collapsed="false">
      <c r="A516" s="12" t="str">
        <f aca="false">IF(Ducted!A221="","",TRIM(Ducted!A221))</f>
        <v/>
      </c>
      <c r="B516" s="12" t="str">
        <f aca="false">IF(A516="","",IF(COUNTIF(A$2:A516,A516)=1,MAX(B$1:B515)+1,""))</f>
        <v/>
      </c>
      <c r="D516" s="12"/>
    </row>
    <row r="517" customFormat="false" ht="15" hidden="false" customHeight="true" outlineLevel="0" collapsed="false">
      <c r="A517" s="12" t="str">
        <f aca="false">IF(Ducted!A222="","",TRIM(Ducted!A222))</f>
        <v/>
      </c>
      <c r="B517" s="12" t="str">
        <f aca="false">IF(A517="","",IF(COUNTIF(A$2:A517,A517)=1,MAX(B$1:B516)+1,""))</f>
        <v/>
      </c>
      <c r="D517" s="12"/>
    </row>
    <row r="518" customFormat="false" ht="15" hidden="false" customHeight="true" outlineLevel="0" collapsed="false">
      <c r="A518" s="12" t="str">
        <f aca="false">IF(Ducted!A223="","",TRIM(Ducted!A223))</f>
        <v/>
      </c>
      <c r="B518" s="12" t="str">
        <f aca="false">IF(A518="","",IF(COUNTIF(A$2:A518,A518)=1,MAX(B$1:B517)+1,""))</f>
        <v/>
      </c>
      <c r="D518" s="12"/>
    </row>
    <row r="519" customFormat="false" ht="15" hidden="false" customHeight="true" outlineLevel="0" collapsed="false">
      <c r="A519" s="12" t="str">
        <f aca="false">IF(Ducted!A224="","",TRIM(Ducted!A224))</f>
        <v/>
      </c>
      <c r="B519" s="12" t="str">
        <f aca="false">IF(A519="","",IF(COUNTIF(A$2:A519,A519)=1,MAX(B$1:B518)+1,""))</f>
        <v/>
      </c>
      <c r="D519" s="12"/>
    </row>
    <row r="520" customFormat="false" ht="15" hidden="false" customHeight="true" outlineLevel="0" collapsed="false">
      <c r="A520" s="12" t="str">
        <f aca="false">IF(Ducted!A225="","",TRIM(Ducted!A225))</f>
        <v/>
      </c>
      <c r="B520" s="12" t="str">
        <f aca="false">IF(A520="","",IF(COUNTIF(A$2:A520,A520)=1,MAX(B$1:B519)+1,""))</f>
        <v/>
      </c>
      <c r="D520" s="12"/>
    </row>
    <row r="521" customFormat="false" ht="15" hidden="false" customHeight="true" outlineLevel="0" collapsed="false">
      <c r="A521" s="12" t="str">
        <f aca="false">IF(Ducted!A226="","",TRIM(Ducted!A226))</f>
        <v/>
      </c>
      <c r="B521" s="12" t="str">
        <f aca="false">IF(A521="","",IF(COUNTIF(A$2:A521,A521)=1,MAX(B$1:B520)+1,""))</f>
        <v/>
      </c>
      <c r="D521" s="12"/>
    </row>
    <row r="522" customFormat="false" ht="15" hidden="false" customHeight="true" outlineLevel="0" collapsed="false">
      <c r="A522" s="12" t="str">
        <f aca="false">IF(Ducted!A227="","",TRIM(Ducted!A227))</f>
        <v/>
      </c>
      <c r="B522" s="12" t="str">
        <f aca="false">IF(A522="","",IF(COUNTIF(A$2:A522,A522)=1,MAX(B$1:B521)+1,""))</f>
        <v/>
      </c>
      <c r="D522" s="12"/>
    </row>
    <row r="523" customFormat="false" ht="15" hidden="false" customHeight="true" outlineLevel="0" collapsed="false">
      <c r="A523" s="12" t="str">
        <f aca="false">IF(Ducted!A228="","",TRIM(Ducted!A228))</f>
        <v/>
      </c>
      <c r="B523" s="12" t="str">
        <f aca="false">IF(A523="","",IF(COUNTIF(A$2:A523,A523)=1,MAX(B$1:B522)+1,""))</f>
        <v/>
      </c>
      <c r="D523" s="12"/>
    </row>
    <row r="524" customFormat="false" ht="15" hidden="false" customHeight="true" outlineLevel="0" collapsed="false">
      <c r="A524" s="12" t="str">
        <f aca="false">IF(Ducted!A229="","",TRIM(Ducted!A229))</f>
        <v/>
      </c>
      <c r="B524" s="12" t="str">
        <f aca="false">IF(A524="","",IF(COUNTIF(A$2:A524,A524)=1,MAX(B$1:B523)+1,""))</f>
        <v/>
      </c>
      <c r="D524" s="12"/>
    </row>
    <row r="525" customFormat="false" ht="15" hidden="false" customHeight="true" outlineLevel="0" collapsed="false">
      <c r="A525" s="12" t="str">
        <f aca="false">IF(Ducted!A230="","",TRIM(Ducted!A230))</f>
        <v/>
      </c>
      <c r="B525" s="12" t="str">
        <f aca="false">IF(A525="","",IF(COUNTIF(A$2:A525,A525)=1,MAX(B$1:B524)+1,""))</f>
        <v/>
      </c>
      <c r="D525" s="12"/>
    </row>
    <row r="526" customFormat="false" ht="15" hidden="false" customHeight="true" outlineLevel="0" collapsed="false">
      <c r="A526" s="12" t="str">
        <f aca="false">IF(Ducted!A231="","",TRIM(Ducted!A231))</f>
        <v/>
      </c>
      <c r="B526" s="12" t="str">
        <f aca="false">IF(A526="","",IF(COUNTIF(A$2:A526,A526)=1,MAX(B$1:B525)+1,""))</f>
        <v/>
      </c>
      <c r="D526" s="12"/>
    </row>
    <row r="527" customFormat="false" ht="15" hidden="false" customHeight="true" outlineLevel="0" collapsed="false">
      <c r="A527" s="12" t="str">
        <f aca="false">IF(Ducted!A232="","",TRIM(Ducted!A232))</f>
        <v/>
      </c>
      <c r="B527" s="12" t="str">
        <f aca="false">IF(A527="","",IF(COUNTIF(A$2:A527,A527)=1,MAX(B$1:B526)+1,""))</f>
        <v/>
      </c>
      <c r="D527" s="12"/>
    </row>
    <row r="528" customFormat="false" ht="15" hidden="false" customHeight="true" outlineLevel="0" collapsed="false">
      <c r="A528" s="12" t="str">
        <f aca="false">IF(Ducted!A233="","",TRIM(Ducted!A233))</f>
        <v/>
      </c>
      <c r="B528" s="12" t="str">
        <f aca="false">IF(A528="","",IF(COUNTIF(A$2:A528,A528)=1,MAX(B$1:B527)+1,""))</f>
        <v/>
      </c>
      <c r="D528" s="12"/>
    </row>
    <row r="529" customFormat="false" ht="15" hidden="false" customHeight="true" outlineLevel="0" collapsed="false">
      <c r="A529" s="12" t="str">
        <f aca="false">IF(Ducted!A234="","",TRIM(Ducted!A234))</f>
        <v/>
      </c>
      <c r="B529" s="12" t="str">
        <f aca="false">IF(A529="","",IF(COUNTIF(A$2:A529,A529)=1,MAX(B$1:B528)+1,""))</f>
        <v/>
      </c>
      <c r="D529" s="12"/>
    </row>
    <row r="530" customFormat="false" ht="15" hidden="false" customHeight="true" outlineLevel="0" collapsed="false">
      <c r="A530" s="12" t="str">
        <f aca="false">IF(Ducted!A235="","",TRIM(Ducted!A235))</f>
        <v/>
      </c>
      <c r="B530" s="12" t="str">
        <f aca="false">IF(A530="","",IF(COUNTIF(A$2:A530,A530)=1,MAX(B$1:B529)+1,""))</f>
        <v/>
      </c>
      <c r="D530" s="12"/>
    </row>
    <row r="531" customFormat="false" ht="15" hidden="false" customHeight="true" outlineLevel="0" collapsed="false">
      <c r="A531" s="12" t="str">
        <f aca="false">IF(Ducted!A236="","",TRIM(Ducted!A236))</f>
        <v/>
      </c>
      <c r="B531" s="12" t="str">
        <f aca="false">IF(A531="","",IF(COUNTIF(A$2:A531,A531)=1,MAX(B$1:B530)+1,""))</f>
        <v/>
      </c>
      <c r="D531" s="12"/>
    </row>
    <row r="532" customFormat="false" ht="15" hidden="false" customHeight="true" outlineLevel="0" collapsed="false">
      <c r="A532" s="12" t="str">
        <f aca="false">IF(Ducted!A237="","",TRIM(Ducted!A237))</f>
        <v/>
      </c>
      <c r="B532" s="12" t="str">
        <f aca="false">IF(A532="","",IF(COUNTIF(A$2:A532,A532)=1,MAX(B$1:B531)+1,""))</f>
        <v/>
      </c>
      <c r="D532" s="12"/>
    </row>
    <row r="533" customFormat="false" ht="15" hidden="false" customHeight="true" outlineLevel="0" collapsed="false">
      <c r="A533" s="12" t="str">
        <f aca="false">IF(Ducted!A238="","",TRIM(Ducted!A238))</f>
        <v/>
      </c>
      <c r="B533" s="12" t="str">
        <f aca="false">IF(A533="","",IF(COUNTIF(A$2:A533,A533)=1,MAX(B$1:B532)+1,""))</f>
        <v/>
      </c>
      <c r="D533" s="12"/>
    </row>
    <row r="534" customFormat="false" ht="15" hidden="false" customHeight="true" outlineLevel="0" collapsed="false">
      <c r="A534" s="12" t="str">
        <f aca="false">IF(Ducted!A239="","",TRIM(Ducted!A239))</f>
        <v/>
      </c>
      <c r="B534" s="12" t="str">
        <f aca="false">IF(A534="","",IF(COUNTIF(A$2:A534,A534)=1,MAX(B$1:B533)+1,""))</f>
        <v/>
      </c>
      <c r="D534" s="12"/>
    </row>
    <row r="535" customFormat="false" ht="15" hidden="false" customHeight="true" outlineLevel="0" collapsed="false">
      <c r="A535" s="12" t="str">
        <f aca="false">IF(Ducted!A240="","",TRIM(Ducted!A240))</f>
        <v/>
      </c>
      <c r="B535" s="12" t="str">
        <f aca="false">IF(A535="","",IF(COUNTIF(A$2:A535,A535)=1,MAX(B$1:B534)+1,""))</f>
        <v/>
      </c>
      <c r="D535" s="12"/>
    </row>
    <row r="536" customFormat="false" ht="15" hidden="false" customHeight="true" outlineLevel="0" collapsed="false">
      <c r="A536" s="12" t="str">
        <f aca="false">IF(Ducted!A241="","",TRIM(Ducted!A241))</f>
        <v/>
      </c>
      <c r="B536" s="12" t="str">
        <f aca="false">IF(A536="","",IF(COUNTIF(A$2:A536,A536)=1,MAX(B$1:B535)+1,""))</f>
        <v/>
      </c>
      <c r="D536" s="12"/>
    </row>
    <row r="537" customFormat="false" ht="15" hidden="false" customHeight="true" outlineLevel="0" collapsed="false">
      <c r="A537" s="12" t="str">
        <f aca="false">IF(Ducted!A242="","",TRIM(Ducted!A242))</f>
        <v/>
      </c>
      <c r="B537" s="12" t="str">
        <f aca="false">IF(A537="","",IF(COUNTIF(A$2:A537,A537)=1,MAX(B$1:B536)+1,""))</f>
        <v/>
      </c>
      <c r="D537" s="12"/>
    </row>
    <row r="538" customFormat="false" ht="15" hidden="false" customHeight="true" outlineLevel="0" collapsed="false">
      <c r="A538" s="12" t="str">
        <f aca="false">IF(Ducted!A243="","",TRIM(Ducted!A243))</f>
        <v/>
      </c>
      <c r="B538" s="12" t="str">
        <f aca="false">IF(A538="","",IF(COUNTIF(A$2:A538,A538)=1,MAX(B$1:B537)+1,""))</f>
        <v/>
      </c>
      <c r="D538" s="12"/>
    </row>
    <row r="539" customFormat="false" ht="15" hidden="false" customHeight="true" outlineLevel="0" collapsed="false">
      <c r="A539" s="12" t="str">
        <f aca="false">IF(Ducted!A244="","",TRIM(Ducted!A244))</f>
        <v/>
      </c>
      <c r="B539" s="12" t="str">
        <f aca="false">IF(A539="","",IF(COUNTIF(A$2:A539,A539)=1,MAX(B$1:B538)+1,""))</f>
        <v/>
      </c>
      <c r="D539" s="12"/>
    </row>
    <row r="540" customFormat="false" ht="15" hidden="false" customHeight="true" outlineLevel="0" collapsed="false">
      <c r="A540" s="12" t="str">
        <f aca="false">IF(Ducted!A245="","",TRIM(Ducted!A245))</f>
        <v/>
      </c>
      <c r="B540" s="12" t="str">
        <f aca="false">IF(A540="","",IF(COUNTIF(A$2:A540,A540)=1,MAX(B$1:B539)+1,""))</f>
        <v/>
      </c>
      <c r="D540" s="12"/>
    </row>
    <row r="541" customFormat="false" ht="15" hidden="false" customHeight="true" outlineLevel="0" collapsed="false">
      <c r="A541" s="12" t="str">
        <f aca="false">IF(Ducted!A246="","",TRIM(Ducted!A246))</f>
        <v/>
      </c>
      <c r="B541" s="12" t="str">
        <f aca="false">IF(A541="","",IF(COUNTIF(A$2:A541,A541)=1,MAX(B$1:B540)+1,""))</f>
        <v/>
      </c>
      <c r="D541" s="12"/>
    </row>
    <row r="542" customFormat="false" ht="15" hidden="false" customHeight="true" outlineLevel="0" collapsed="false">
      <c r="A542" s="12" t="str">
        <f aca="false">IF(Ducted!A247="","",TRIM(Ducted!A247))</f>
        <v/>
      </c>
      <c r="B542" s="12" t="str">
        <f aca="false">IF(A542="","",IF(COUNTIF(A$2:A542,A542)=1,MAX(B$1:B541)+1,""))</f>
        <v/>
      </c>
      <c r="D542" s="12"/>
    </row>
    <row r="543" customFormat="false" ht="15" hidden="false" customHeight="true" outlineLevel="0" collapsed="false">
      <c r="A543" s="12" t="str">
        <f aca="false">IF(Ducted!A248="","",TRIM(Ducted!A248))</f>
        <v/>
      </c>
      <c r="B543" s="12" t="str">
        <f aca="false">IF(A543="","",IF(COUNTIF(A$2:A543,A543)=1,MAX(B$1:B542)+1,""))</f>
        <v/>
      </c>
      <c r="D543" s="12"/>
    </row>
    <row r="544" customFormat="false" ht="15" hidden="false" customHeight="true" outlineLevel="0" collapsed="false">
      <c r="A544" s="12" t="str">
        <f aca="false">IF(Ducted!A249="","",TRIM(Ducted!A249))</f>
        <v/>
      </c>
      <c r="B544" s="12" t="str">
        <f aca="false">IF(A544="","",IF(COUNTIF(A$2:A544,A544)=1,MAX(B$1:B543)+1,""))</f>
        <v/>
      </c>
      <c r="D544" s="12"/>
    </row>
    <row r="545" customFormat="false" ht="15" hidden="false" customHeight="true" outlineLevel="0" collapsed="false">
      <c r="A545" s="12" t="str">
        <f aca="false">IF(Ducted!A250="","",TRIM(Ducted!A250))</f>
        <v/>
      </c>
      <c r="B545" s="12" t="str">
        <f aca="false">IF(A545="","",IF(COUNTIF(A$2:A545,A545)=1,MAX(B$1:B544)+1,""))</f>
        <v/>
      </c>
      <c r="D545" s="12"/>
    </row>
    <row r="546" customFormat="false" ht="15" hidden="false" customHeight="true" outlineLevel="0" collapsed="false">
      <c r="A546" s="12" t="str">
        <f aca="false">IF(Ducted!A251="","",TRIM(Ducted!A251))</f>
        <v/>
      </c>
      <c r="B546" s="12" t="str">
        <f aca="false">IF(A546="","",IF(COUNTIF(A$2:A546,A546)=1,MAX(B$1:B545)+1,""))</f>
        <v/>
      </c>
      <c r="D546" s="12"/>
    </row>
    <row r="547" customFormat="false" ht="15" hidden="false" customHeight="true" outlineLevel="0" collapsed="false">
      <c r="A547" s="12" t="str">
        <f aca="false">IF(Ducted!A252="","",TRIM(Ducted!A252))</f>
        <v/>
      </c>
      <c r="B547" s="12" t="str">
        <f aca="false">IF(A547="","",IF(COUNTIF(A$2:A547,A547)=1,MAX(B$1:B546)+1,""))</f>
        <v/>
      </c>
      <c r="D547" s="12"/>
    </row>
    <row r="548" customFormat="false" ht="15" hidden="false" customHeight="true" outlineLevel="0" collapsed="false">
      <c r="A548" s="12" t="str">
        <f aca="false">IF(Ducted!A253="","",TRIM(Ducted!A253))</f>
        <v/>
      </c>
      <c r="B548" s="12" t="str">
        <f aca="false">IF(A548="","",IF(COUNTIF(A$2:A548,A548)=1,MAX(B$1:B547)+1,""))</f>
        <v/>
      </c>
      <c r="D548" s="12"/>
    </row>
    <row r="549" customFormat="false" ht="15" hidden="false" customHeight="true" outlineLevel="0" collapsed="false">
      <c r="A549" s="12" t="str">
        <f aca="false">IF(Ducted!A254="","",TRIM(Ducted!A254))</f>
        <v/>
      </c>
      <c r="B549" s="12" t="str">
        <f aca="false">IF(A549="","",IF(COUNTIF(A$2:A549,A549)=1,MAX(B$1:B548)+1,""))</f>
        <v/>
      </c>
      <c r="D549" s="12"/>
    </row>
    <row r="550" customFormat="false" ht="15" hidden="false" customHeight="true" outlineLevel="0" collapsed="false">
      <c r="A550" s="12" t="str">
        <f aca="false">IF(Ducted!A255="","",TRIM(Ducted!A255))</f>
        <v/>
      </c>
      <c r="B550" s="12" t="str">
        <f aca="false">IF(A550="","",IF(COUNTIF(A$2:A550,A550)=1,MAX(B$1:B549)+1,""))</f>
        <v/>
      </c>
      <c r="D550" s="12"/>
    </row>
    <row r="551" customFormat="false" ht="15" hidden="false" customHeight="true" outlineLevel="0" collapsed="false">
      <c r="A551" s="12" t="str">
        <f aca="false">IF(Ducted!A256="","",TRIM(Ducted!A256))</f>
        <v/>
      </c>
      <c r="B551" s="12" t="str">
        <f aca="false">IF(A551="","",IF(COUNTIF(A$2:A551,A551)=1,MAX(B$1:B550)+1,""))</f>
        <v/>
      </c>
      <c r="D551" s="12"/>
    </row>
    <row r="552" customFormat="false" ht="15" hidden="false" customHeight="true" outlineLevel="0" collapsed="false">
      <c r="A552" s="12" t="str">
        <f aca="false">IF(Ducted!A257="","",TRIM(Ducted!A257))</f>
        <v/>
      </c>
      <c r="B552" s="12" t="str">
        <f aca="false">IF(A552="","",IF(COUNTIF(A$2:A552,A552)=1,MAX(B$1:B551)+1,""))</f>
        <v/>
      </c>
      <c r="D552" s="12"/>
    </row>
    <row r="553" customFormat="false" ht="15" hidden="false" customHeight="true" outlineLevel="0" collapsed="false">
      <c r="A553" s="12" t="str">
        <f aca="false">IF(Ducted!A258="","",TRIM(Ducted!A258))</f>
        <v/>
      </c>
      <c r="B553" s="12" t="str">
        <f aca="false">IF(A553="","",IF(COUNTIF(A$2:A553,A553)=1,MAX(B$1:B552)+1,""))</f>
        <v/>
      </c>
      <c r="D553" s="12"/>
    </row>
    <row r="554" customFormat="false" ht="15" hidden="false" customHeight="true" outlineLevel="0" collapsed="false">
      <c r="A554" s="12" t="str">
        <f aca="false">IF(Ducted!A259="","",TRIM(Ducted!A259))</f>
        <v/>
      </c>
      <c r="B554" s="12" t="str">
        <f aca="false">IF(A554="","",IF(COUNTIF(A$2:A554,A554)=1,MAX(B$1:B553)+1,""))</f>
        <v/>
      </c>
      <c r="D554" s="12"/>
    </row>
    <row r="555" customFormat="false" ht="15" hidden="false" customHeight="true" outlineLevel="0" collapsed="false">
      <c r="A555" s="12" t="str">
        <f aca="false">IF(Ducted!A260="","",TRIM(Ducted!A260))</f>
        <v/>
      </c>
      <c r="B555" s="12" t="str">
        <f aca="false">IF(A555="","",IF(COUNTIF(A$2:A555,A555)=1,MAX(B$1:B554)+1,""))</f>
        <v/>
      </c>
      <c r="D555" s="12"/>
    </row>
    <row r="556" customFormat="false" ht="15" hidden="false" customHeight="true" outlineLevel="0" collapsed="false">
      <c r="A556" s="12" t="str">
        <f aca="false">IF(Ducted!A261="","",TRIM(Ducted!A261))</f>
        <v/>
      </c>
      <c r="B556" s="12" t="str">
        <f aca="false">IF(A556="","",IF(COUNTIF(A$2:A556,A556)=1,MAX(B$1:B555)+1,""))</f>
        <v/>
      </c>
      <c r="D556" s="12"/>
    </row>
    <row r="557" customFormat="false" ht="15" hidden="false" customHeight="true" outlineLevel="0" collapsed="false">
      <c r="A557" s="12" t="str">
        <f aca="false">IF(Ducted!A262="","",TRIM(Ducted!A262))</f>
        <v/>
      </c>
      <c r="B557" s="12" t="str">
        <f aca="false">IF(A557="","",IF(COUNTIF(A$2:A557,A557)=1,MAX(B$1:B556)+1,""))</f>
        <v/>
      </c>
      <c r="D557" s="12"/>
    </row>
    <row r="558" customFormat="false" ht="15" hidden="false" customHeight="true" outlineLevel="0" collapsed="false">
      <c r="A558" s="12" t="str">
        <f aca="false">IF(Ducted!A263="","",TRIM(Ducted!A263))</f>
        <v/>
      </c>
      <c r="B558" s="12" t="str">
        <f aca="false">IF(A558="","",IF(COUNTIF(A$2:A558,A558)=1,MAX(B$1:B557)+1,""))</f>
        <v/>
      </c>
      <c r="D558" s="12"/>
    </row>
    <row r="559" customFormat="false" ht="15" hidden="false" customHeight="true" outlineLevel="0" collapsed="false">
      <c r="A559" s="12" t="str">
        <f aca="false">IF(Ducted!A264="","",TRIM(Ducted!A264))</f>
        <v/>
      </c>
      <c r="B559" s="12" t="str">
        <f aca="false">IF(A559="","",IF(COUNTIF(A$2:A559,A559)=1,MAX(B$1:B558)+1,""))</f>
        <v/>
      </c>
      <c r="D559" s="12"/>
    </row>
    <row r="560" customFormat="false" ht="15" hidden="false" customHeight="true" outlineLevel="0" collapsed="false">
      <c r="A560" s="12" t="str">
        <f aca="false">IF(Ducted!A265="","",TRIM(Ducted!A265))</f>
        <v/>
      </c>
      <c r="B560" s="12" t="str">
        <f aca="false">IF(A560="","",IF(COUNTIF(A$2:A560,A560)=1,MAX(B$1:B559)+1,""))</f>
        <v/>
      </c>
      <c r="D560" s="12"/>
    </row>
    <row r="561" customFormat="false" ht="15" hidden="false" customHeight="true" outlineLevel="0" collapsed="false">
      <c r="A561" s="12" t="str">
        <f aca="false">IF(Ducted!A266="","",TRIM(Ducted!A266))</f>
        <v/>
      </c>
      <c r="B561" s="12" t="str">
        <f aca="false">IF(A561="","",IF(COUNTIF(A$2:A561,A561)=1,MAX(B$1:B560)+1,""))</f>
        <v/>
      </c>
      <c r="D561" s="12"/>
    </row>
    <row r="562" customFormat="false" ht="15" hidden="false" customHeight="true" outlineLevel="0" collapsed="false">
      <c r="A562" s="12" t="str">
        <f aca="false">IF(Ducted!A267="","",TRIM(Ducted!A267))</f>
        <v/>
      </c>
      <c r="B562" s="12" t="str">
        <f aca="false">IF(A562="","",IF(COUNTIF(A$2:A562,A562)=1,MAX(B$1:B561)+1,""))</f>
        <v/>
      </c>
      <c r="D562" s="12"/>
    </row>
    <row r="563" customFormat="false" ht="15" hidden="false" customHeight="true" outlineLevel="0" collapsed="false">
      <c r="A563" s="12" t="str">
        <f aca="false">IF(Ducted!A268="","",TRIM(Ducted!A268))</f>
        <v/>
      </c>
      <c r="B563" s="12" t="str">
        <f aca="false">IF(A563="","",IF(COUNTIF(A$2:A563,A563)=1,MAX(B$1:B562)+1,""))</f>
        <v/>
      </c>
      <c r="D563" s="12"/>
    </row>
    <row r="564" customFormat="false" ht="15" hidden="false" customHeight="true" outlineLevel="0" collapsed="false">
      <c r="A564" s="12" t="str">
        <f aca="false">IF(Ducted!A269="","",TRIM(Ducted!A269))</f>
        <v/>
      </c>
      <c r="B564" s="12" t="str">
        <f aca="false">IF(A564="","",IF(COUNTIF(A$2:A564,A564)=1,MAX(B$1:B563)+1,""))</f>
        <v/>
      </c>
      <c r="D564" s="12"/>
    </row>
    <row r="565" customFormat="false" ht="15" hidden="false" customHeight="true" outlineLevel="0" collapsed="false">
      <c r="A565" s="12" t="str">
        <f aca="false">IF(Ducted!A270="","",TRIM(Ducted!A270))</f>
        <v/>
      </c>
      <c r="B565" s="12" t="str">
        <f aca="false">IF(A565="","",IF(COUNTIF(A$2:A565,A565)=1,MAX(B$1:B564)+1,""))</f>
        <v/>
      </c>
      <c r="D565" s="12"/>
    </row>
    <row r="566" customFormat="false" ht="15" hidden="false" customHeight="true" outlineLevel="0" collapsed="false">
      <c r="A566" s="12" t="str">
        <f aca="false">IF(Ducted!A271="","",TRIM(Ducted!A271))</f>
        <v/>
      </c>
      <c r="B566" s="12" t="str">
        <f aca="false">IF(A566="","",IF(COUNTIF(A$2:A566,A566)=1,MAX(B$1:B565)+1,""))</f>
        <v/>
      </c>
      <c r="D566" s="12"/>
    </row>
    <row r="567" customFormat="false" ht="15" hidden="false" customHeight="true" outlineLevel="0" collapsed="false">
      <c r="A567" s="12" t="str">
        <f aca="false">IF(Ducted!A272="","",TRIM(Ducted!A272))</f>
        <v/>
      </c>
      <c r="B567" s="12" t="str">
        <f aca="false">IF(A567="","",IF(COUNTIF(A$2:A567,A567)=1,MAX(B$1:B566)+1,""))</f>
        <v/>
      </c>
      <c r="D567" s="12"/>
    </row>
    <row r="568" customFormat="false" ht="15" hidden="false" customHeight="true" outlineLevel="0" collapsed="false">
      <c r="A568" s="12" t="str">
        <f aca="false">IF(Ducted!A273="","",TRIM(Ducted!A273))</f>
        <v/>
      </c>
      <c r="B568" s="12" t="str">
        <f aca="false">IF(A568="","",IF(COUNTIF(A$2:A568,A568)=1,MAX(B$1:B567)+1,""))</f>
        <v/>
      </c>
      <c r="D568" s="12"/>
    </row>
    <row r="569" customFormat="false" ht="15" hidden="false" customHeight="true" outlineLevel="0" collapsed="false">
      <c r="A569" s="12" t="str">
        <f aca="false">IF(Ducted!A274="","",TRIM(Ducted!A274))</f>
        <v/>
      </c>
      <c r="B569" s="12" t="str">
        <f aca="false">IF(A569="","",IF(COUNTIF(A$2:A569,A569)=1,MAX(B$1:B568)+1,""))</f>
        <v/>
      </c>
      <c r="D569" s="12"/>
    </row>
    <row r="570" customFormat="false" ht="15" hidden="false" customHeight="true" outlineLevel="0" collapsed="false">
      <c r="A570" s="12" t="str">
        <f aca="false">IF(Ducted!A275="","",TRIM(Ducted!A275))</f>
        <v/>
      </c>
      <c r="B570" s="12" t="str">
        <f aca="false">IF(A570="","",IF(COUNTIF(A$2:A570,A570)=1,MAX(B$1:B569)+1,""))</f>
        <v/>
      </c>
      <c r="D570" s="12"/>
    </row>
    <row r="571" customFormat="false" ht="15" hidden="false" customHeight="true" outlineLevel="0" collapsed="false">
      <c r="A571" s="12" t="str">
        <f aca="false">IF(Ducted!A276="","",TRIM(Ducted!A276))</f>
        <v/>
      </c>
      <c r="B571" s="12" t="str">
        <f aca="false">IF(A571="","",IF(COUNTIF(A$2:A571,A571)=1,MAX(B$1:B570)+1,""))</f>
        <v/>
      </c>
      <c r="D571" s="12"/>
    </row>
    <row r="572" customFormat="false" ht="15" hidden="false" customHeight="true" outlineLevel="0" collapsed="false">
      <c r="A572" s="12" t="str">
        <f aca="false">IF(Ducted!A277="","",TRIM(Ducted!A277))</f>
        <v/>
      </c>
      <c r="B572" s="12" t="str">
        <f aca="false">IF(A572="","",IF(COUNTIF(A$2:A572,A572)=1,MAX(B$1:B571)+1,""))</f>
        <v/>
      </c>
      <c r="D572" s="12"/>
    </row>
    <row r="573" customFormat="false" ht="15" hidden="false" customHeight="true" outlineLevel="0" collapsed="false">
      <c r="A573" s="12" t="str">
        <f aca="false">IF(Ducted!A278="","",TRIM(Ducted!A278))</f>
        <v/>
      </c>
      <c r="B573" s="12" t="str">
        <f aca="false">IF(A573="","",IF(COUNTIF(A$2:A573,A573)=1,MAX(B$1:B572)+1,""))</f>
        <v/>
      </c>
      <c r="D573" s="12"/>
    </row>
    <row r="574" customFormat="false" ht="15" hidden="false" customHeight="true" outlineLevel="0" collapsed="false">
      <c r="A574" s="12" t="str">
        <f aca="false">IF(Ducted!A279="","",TRIM(Ducted!A279))</f>
        <v/>
      </c>
      <c r="B574" s="12" t="str">
        <f aca="false">IF(A574="","",IF(COUNTIF(A$2:A574,A574)=1,MAX(B$1:B573)+1,""))</f>
        <v/>
      </c>
      <c r="D574" s="12"/>
    </row>
    <row r="575" customFormat="false" ht="15" hidden="false" customHeight="true" outlineLevel="0" collapsed="false">
      <c r="A575" s="12" t="str">
        <f aca="false">IF(Ducted!A280="","",TRIM(Ducted!A280))</f>
        <v/>
      </c>
      <c r="B575" s="12" t="str">
        <f aca="false">IF(A575="","",IF(COUNTIF(A$2:A575,A575)=1,MAX(B$1:B574)+1,""))</f>
        <v/>
      </c>
      <c r="D575" s="12"/>
    </row>
    <row r="576" customFormat="false" ht="15" hidden="false" customHeight="true" outlineLevel="0" collapsed="false">
      <c r="A576" s="12" t="str">
        <f aca="false">IF(Ducted!A281="","",TRIM(Ducted!A281))</f>
        <v/>
      </c>
      <c r="B576" s="12" t="str">
        <f aca="false">IF(A576="","",IF(COUNTIF(A$2:A576,A576)=1,MAX(B$1:B575)+1,""))</f>
        <v/>
      </c>
      <c r="D576" s="12"/>
    </row>
    <row r="577" customFormat="false" ht="15" hidden="false" customHeight="true" outlineLevel="0" collapsed="false">
      <c r="A577" s="12" t="str">
        <f aca="false">IF(Ducted!A282="","",TRIM(Ducted!A282))</f>
        <v/>
      </c>
      <c r="B577" s="12" t="str">
        <f aca="false">IF(A577="","",IF(COUNTIF(A$2:A577,A577)=1,MAX(B$1:B576)+1,""))</f>
        <v/>
      </c>
      <c r="D577" s="12"/>
    </row>
    <row r="578" customFormat="false" ht="15" hidden="false" customHeight="true" outlineLevel="0" collapsed="false">
      <c r="A578" s="12" t="str">
        <f aca="false">IF(Ducted!A283="","",TRIM(Ducted!A283))</f>
        <v/>
      </c>
      <c r="B578" s="12" t="str">
        <f aca="false">IF(A578="","",IF(COUNTIF(A$2:A578,A578)=1,MAX(B$1:B577)+1,""))</f>
        <v/>
      </c>
      <c r="D578" s="12"/>
    </row>
    <row r="579" customFormat="false" ht="15" hidden="false" customHeight="true" outlineLevel="0" collapsed="false">
      <c r="A579" s="12" t="str">
        <f aca="false">IF(Ducted!A284="","",TRIM(Ducted!A284))</f>
        <v/>
      </c>
      <c r="B579" s="12" t="str">
        <f aca="false">IF(A579="","",IF(COUNTIF(A$2:A579,A579)=1,MAX(B$1:B578)+1,""))</f>
        <v/>
      </c>
      <c r="D579" s="12"/>
    </row>
    <row r="580" customFormat="false" ht="15" hidden="false" customHeight="true" outlineLevel="0" collapsed="false">
      <c r="A580" s="12" t="str">
        <f aca="false">IF(Ducted!A285="","",TRIM(Ducted!A285))</f>
        <v/>
      </c>
      <c r="B580" s="12" t="str">
        <f aca="false">IF(A580="","",IF(COUNTIF(A$2:A580,A580)=1,MAX(B$1:B579)+1,""))</f>
        <v/>
      </c>
      <c r="D580" s="12"/>
    </row>
    <row r="581" customFormat="false" ht="15" hidden="false" customHeight="true" outlineLevel="0" collapsed="false">
      <c r="A581" s="12" t="str">
        <f aca="false">IF(Ducted!A286="","",TRIM(Ducted!A286))</f>
        <v/>
      </c>
      <c r="B581" s="12" t="str">
        <f aca="false">IF(A581="","",IF(COUNTIF(A$2:A581,A581)=1,MAX(B$1:B580)+1,""))</f>
        <v/>
      </c>
      <c r="D581" s="12"/>
    </row>
    <row r="582" customFormat="false" ht="15" hidden="false" customHeight="true" outlineLevel="0" collapsed="false">
      <c r="A582" s="12" t="str">
        <f aca="false">IF(Ducted!A287="","",TRIM(Ducted!A287))</f>
        <v/>
      </c>
      <c r="B582" s="12" t="str">
        <f aca="false">IF(A582="","",IF(COUNTIF(A$2:A582,A582)=1,MAX(B$1:B581)+1,""))</f>
        <v/>
      </c>
      <c r="D582" s="12"/>
    </row>
    <row r="583" customFormat="false" ht="15" hidden="false" customHeight="true" outlineLevel="0" collapsed="false">
      <c r="A583" s="12" t="str">
        <f aca="false">IF(Ducted!A288="","",TRIM(Ducted!A288))</f>
        <v/>
      </c>
      <c r="B583" s="12" t="str">
        <f aca="false">IF(A583="","",IF(COUNTIF(A$2:A583,A583)=1,MAX(B$1:B582)+1,""))</f>
        <v/>
      </c>
      <c r="D583" s="12"/>
    </row>
    <row r="584" customFormat="false" ht="15" hidden="false" customHeight="true" outlineLevel="0" collapsed="false">
      <c r="A584" s="12" t="str">
        <f aca="false">IF(Ducted!A289="","",TRIM(Ducted!A289))</f>
        <v/>
      </c>
      <c r="B584" s="12" t="str">
        <f aca="false">IF(A584="","",IF(COUNTIF(A$2:A584,A584)=1,MAX(B$1:B583)+1,""))</f>
        <v/>
      </c>
      <c r="D584" s="12"/>
    </row>
    <row r="585" customFormat="false" ht="15" hidden="false" customHeight="true" outlineLevel="0" collapsed="false">
      <c r="A585" s="12" t="str">
        <f aca="false">IF(Ducted!A290="","",TRIM(Ducted!A290))</f>
        <v/>
      </c>
      <c r="B585" s="12" t="str">
        <f aca="false">IF(A585="","",IF(COUNTIF(A$2:A585,A585)=1,MAX(B$1:B584)+1,""))</f>
        <v/>
      </c>
      <c r="D585" s="12"/>
    </row>
    <row r="586" customFormat="false" ht="15" hidden="false" customHeight="true" outlineLevel="0" collapsed="false">
      <c r="A586" s="12" t="str">
        <f aca="false">IF(Ducted!A291="","",TRIM(Ducted!A291))</f>
        <v/>
      </c>
      <c r="B586" s="12" t="str">
        <f aca="false">IF(A586="","",IF(COUNTIF(A$2:A586,A586)=1,MAX(B$1:B585)+1,""))</f>
        <v/>
      </c>
      <c r="D586" s="12"/>
    </row>
    <row r="587" customFormat="false" ht="15" hidden="false" customHeight="true" outlineLevel="0" collapsed="false">
      <c r="A587" s="12" t="str">
        <f aca="false">IF(Ducted!A292="","",TRIM(Ducted!A292))</f>
        <v/>
      </c>
      <c r="B587" s="12" t="str">
        <f aca="false">IF(A587="","",IF(COUNTIF(A$2:A587,A587)=1,MAX(B$1:B586)+1,""))</f>
        <v/>
      </c>
      <c r="D587" s="12"/>
    </row>
    <row r="588" customFormat="false" ht="15" hidden="false" customHeight="true" outlineLevel="0" collapsed="false">
      <c r="A588" s="12" t="str">
        <f aca="false">IF(Ducted!A293="","",TRIM(Ducted!A293))</f>
        <v/>
      </c>
      <c r="B588" s="12" t="str">
        <f aca="false">IF(A588="","",IF(COUNTIF(A$2:A588,A588)=1,MAX(B$1:B587)+1,""))</f>
        <v/>
      </c>
      <c r="D588" s="12"/>
    </row>
    <row r="589" customFormat="false" ht="15" hidden="false" customHeight="true" outlineLevel="0" collapsed="false">
      <c r="A589" s="12" t="str">
        <f aca="false">IF(Ducted!A294="","",TRIM(Ducted!A294))</f>
        <v/>
      </c>
      <c r="B589" s="12" t="str">
        <f aca="false">IF(A589="","",IF(COUNTIF(A$2:A589,A589)=1,MAX(B$1:B588)+1,""))</f>
        <v/>
      </c>
      <c r="D589" s="12"/>
    </row>
    <row r="590" customFormat="false" ht="15" hidden="false" customHeight="true" outlineLevel="0" collapsed="false">
      <c r="A590" s="12" t="str">
        <f aca="false">IF(Ducted!A295="","",TRIM(Ducted!A295))</f>
        <v/>
      </c>
      <c r="B590" s="12" t="str">
        <f aca="false">IF(A590="","",IF(COUNTIF(A$2:A590,A590)=1,MAX(B$1:B589)+1,""))</f>
        <v/>
      </c>
      <c r="D590" s="12"/>
    </row>
    <row r="591" customFormat="false" ht="15" hidden="false" customHeight="true" outlineLevel="0" collapsed="false">
      <c r="A591" s="12" t="str">
        <f aca="false">IF(Ducted!A296="","",TRIM(Ducted!A296))</f>
        <v/>
      </c>
      <c r="B591" s="12" t="str">
        <f aca="false">IF(A591="","",IF(COUNTIF(A$2:A591,A591)=1,MAX(B$1:B590)+1,""))</f>
        <v/>
      </c>
      <c r="D591" s="12"/>
    </row>
    <row r="592" customFormat="false" ht="15" hidden="false" customHeight="true" outlineLevel="0" collapsed="false">
      <c r="A592" s="12" t="str">
        <f aca="false">IF(Ducted!A297="","",TRIM(Ducted!A297))</f>
        <v/>
      </c>
      <c r="B592" s="12" t="str">
        <f aca="false">IF(A592="","",IF(COUNTIF(A$2:A592,A592)=1,MAX(B$1:B591)+1,""))</f>
        <v/>
      </c>
      <c r="D592" s="12"/>
    </row>
    <row r="593" customFormat="false" ht="15" hidden="false" customHeight="true" outlineLevel="0" collapsed="false">
      <c r="A593" s="12" t="str">
        <f aca="false">IF(Ducted!A298="","",TRIM(Ducted!A298))</f>
        <v/>
      </c>
      <c r="B593" s="12" t="str">
        <f aca="false">IF(A593="","",IF(COUNTIF(A$2:A593,A593)=1,MAX(B$1:B592)+1,""))</f>
        <v/>
      </c>
      <c r="D593" s="12"/>
    </row>
    <row r="594" customFormat="false" ht="15" hidden="false" customHeight="true" outlineLevel="0" collapsed="false">
      <c r="A594" s="12" t="str">
        <f aca="false">IF(Ducted!A299="","",TRIM(Ducted!A299))</f>
        <v/>
      </c>
      <c r="B594" s="12" t="str">
        <f aca="false">IF(A594="","",IF(COUNTIF(A$2:A594,A594)=1,MAX(B$1:B593)+1,""))</f>
        <v/>
      </c>
      <c r="D594" s="12"/>
    </row>
    <row r="595" customFormat="false" ht="15" hidden="false" customHeight="true" outlineLevel="0" collapsed="false">
      <c r="A595" s="12" t="str">
        <f aca="false">IF(Ducted!A300="","",TRIM(Ducted!A300))</f>
        <v/>
      </c>
      <c r="B595" s="12" t="str">
        <f aca="false">IF(A595="","",IF(COUNTIF(A$2:A595,A595)=1,MAX(B$1:B594)+1,""))</f>
        <v/>
      </c>
      <c r="D595" s="12"/>
    </row>
    <row r="596" customFormat="false" ht="15" hidden="false" customHeight="true" outlineLevel="0" collapsed="false">
      <c r="A596" s="12" t="str">
        <f aca="false">IF(Ducted!A301="","",TRIM(Ducted!A301))</f>
        <v/>
      </c>
      <c r="B596" s="12" t="str">
        <f aca="false">IF(A596="","",IF(COUNTIF(A$2:A596,A596)=1,MAX(B$1:B595)+1,""))</f>
        <v/>
      </c>
      <c r="D596" s="12"/>
    </row>
    <row r="597" customFormat="false" ht="15" hidden="false" customHeight="true" outlineLevel="0" collapsed="false">
      <c r="A597" s="12" t="str">
        <f aca="false">IF(Ducted!A302="","",TRIM(Ducted!A302))</f>
        <v/>
      </c>
      <c r="B597" s="12" t="str">
        <f aca="false">IF(A597="","",IF(COUNTIF(A$2:A597,A597)=1,MAX(B$1:B596)+1,""))</f>
        <v/>
      </c>
      <c r="D597" s="12"/>
    </row>
    <row r="598" customFormat="false" ht="15" hidden="false" customHeight="true" outlineLevel="0" collapsed="false">
      <c r="A598" s="12" t="str">
        <f aca="false">IF(Ducted!A303="","",TRIM(Ducted!A303))</f>
        <v/>
      </c>
      <c r="B598" s="12" t="str">
        <f aca="false">IF(A598="","",IF(COUNTIF(A$2:A598,A598)=1,MAX(B$1:B597)+1,""))</f>
        <v/>
      </c>
      <c r="D598" s="12"/>
    </row>
    <row r="599" customFormat="false" ht="15" hidden="false" customHeight="true" outlineLevel="0" collapsed="false">
      <c r="A599" s="12" t="str">
        <f aca="false">IF(Ducted!A304="","",TRIM(Ducted!A304))</f>
        <v/>
      </c>
      <c r="B599" s="12" t="str">
        <f aca="false">IF(A599="","",IF(COUNTIF(A$2:A599,A599)=1,MAX(B$1:B598)+1,""))</f>
        <v/>
      </c>
      <c r="D599" s="12"/>
    </row>
    <row r="600" customFormat="false" ht="15" hidden="false" customHeight="true" outlineLevel="0" collapsed="false">
      <c r="A600" s="12" t="str">
        <f aca="false">IF(Ducted!A305="","",TRIM(Ducted!A305))</f>
        <v/>
      </c>
      <c r="B600" s="12" t="str">
        <f aca="false">IF(A600="","",IF(COUNTIF(A$2:A600,A600)=1,MAX(B$1:B599)+1,""))</f>
        <v/>
      </c>
      <c r="D600" s="12"/>
    </row>
    <row r="601" customFormat="false" ht="15" hidden="false" customHeight="true" outlineLevel="0" collapsed="false">
      <c r="A601" s="12" t="str">
        <f aca="false">IF(Ducted!A306="","",TRIM(Ducted!A306))</f>
        <v/>
      </c>
      <c r="B601" s="12" t="str">
        <f aca="false">IF(A601="","",IF(COUNTIF(A$2:A601,A601)=1,MAX(B$1:B600)+1,""))</f>
        <v/>
      </c>
      <c r="D601" s="12"/>
    </row>
    <row r="602" customFormat="false" ht="15" hidden="false" customHeight="true" outlineLevel="0" collapsed="false">
      <c r="A602" s="12" t="str">
        <f aca="false">IF(Cassette!A7="","",TRIM(Cassette!A7))</f>
        <v/>
      </c>
      <c r="B602" s="12" t="str">
        <f aca="false">IF(A602="","",IF(COUNTIF(A$2:A602,A602)=1,MAX(B$1:B601)+1,""))</f>
        <v/>
      </c>
      <c r="D602" s="12"/>
    </row>
    <row r="603" customFormat="false" ht="15" hidden="false" customHeight="true" outlineLevel="0" collapsed="false">
      <c r="A603" s="12" t="str">
        <f aca="false">IF(Cassette!A8="","",TRIM(Cassette!A8))</f>
        <v/>
      </c>
      <c r="B603" s="12" t="str">
        <f aca="false">IF(A603="","",IF(COUNTIF(A$2:A603,A603)=1,MAX(B$1:B602)+1,""))</f>
        <v/>
      </c>
      <c r="D603" s="12"/>
    </row>
    <row r="604" customFormat="false" ht="15" hidden="false" customHeight="true" outlineLevel="0" collapsed="false">
      <c r="A604" s="12" t="str">
        <f aca="false">IF(Cassette!A9="","",TRIM(Cassette!A9))</f>
        <v/>
      </c>
      <c r="B604" s="12" t="str">
        <f aca="false">IF(A604="","",IF(COUNTIF(A$2:A604,A604)=1,MAX(B$1:B603)+1,""))</f>
        <v/>
      </c>
      <c r="D604" s="12"/>
    </row>
    <row r="605" customFormat="false" ht="15" hidden="false" customHeight="true" outlineLevel="0" collapsed="false">
      <c r="A605" s="12" t="str">
        <f aca="false">IF(Cassette!A10="","",TRIM(Cassette!A10))</f>
        <v/>
      </c>
      <c r="B605" s="12" t="str">
        <f aca="false">IF(A605="","",IF(COUNTIF(A$2:A605,A605)=1,MAX(B$1:B604)+1,""))</f>
        <v/>
      </c>
      <c r="D605" s="12"/>
    </row>
    <row r="606" customFormat="false" ht="15" hidden="false" customHeight="true" outlineLevel="0" collapsed="false">
      <c r="A606" s="12" t="str">
        <f aca="false">IF(Cassette!A11="","",TRIM(Cassette!A11))</f>
        <v/>
      </c>
      <c r="B606" s="12" t="str">
        <f aca="false">IF(A606="","",IF(COUNTIF(A$2:A606,A606)=1,MAX(B$1:B605)+1,""))</f>
        <v/>
      </c>
      <c r="D606" s="12"/>
    </row>
    <row r="607" customFormat="false" ht="15" hidden="false" customHeight="true" outlineLevel="0" collapsed="false">
      <c r="A607" s="12" t="str">
        <f aca="false">IF(Cassette!A12="","",TRIM(Cassette!A12))</f>
        <v/>
      </c>
      <c r="B607" s="12" t="str">
        <f aca="false">IF(A607="","",IF(COUNTIF(A$2:A607,A607)=1,MAX(B$1:B606)+1,""))</f>
        <v/>
      </c>
      <c r="D607" s="12"/>
    </row>
    <row r="608" customFormat="false" ht="15" hidden="false" customHeight="true" outlineLevel="0" collapsed="false">
      <c r="A608" s="12" t="str">
        <f aca="false">IF(Cassette!A13="","",TRIM(Cassette!A13))</f>
        <v/>
      </c>
      <c r="B608" s="12" t="str">
        <f aca="false">IF(A608="","",IF(COUNTIF(A$2:A608,A608)=1,MAX(B$1:B607)+1,""))</f>
        <v/>
      </c>
      <c r="D608" s="12"/>
    </row>
    <row r="609" customFormat="false" ht="15" hidden="false" customHeight="true" outlineLevel="0" collapsed="false">
      <c r="A609" s="12" t="str">
        <f aca="false">IF(Cassette!A14="","",TRIM(Cassette!A14))</f>
        <v/>
      </c>
      <c r="B609" s="12" t="str">
        <f aca="false">IF(A609="","",IF(COUNTIF(A$2:A609,A609)=1,MAX(B$1:B608)+1,""))</f>
        <v/>
      </c>
      <c r="D609" s="12"/>
    </row>
    <row r="610" customFormat="false" ht="15" hidden="false" customHeight="true" outlineLevel="0" collapsed="false">
      <c r="A610" s="12" t="str">
        <f aca="false">IF(Cassette!A15="","",TRIM(Cassette!A15))</f>
        <v/>
      </c>
      <c r="B610" s="12" t="str">
        <f aca="false">IF(A610="","",IF(COUNTIF(A$2:A610,A610)=1,MAX(B$1:B609)+1,""))</f>
        <v/>
      </c>
      <c r="D610" s="12"/>
    </row>
    <row r="611" customFormat="false" ht="15" hidden="false" customHeight="true" outlineLevel="0" collapsed="false">
      <c r="A611" s="12" t="str">
        <f aca="false">IF(Cassette!A16="","",TRIM(Cassette!A16))</f>
        <v/>
      </c>
      <c r="B611" s="12" t="str">
        <f aca="false">IF(A611="","",IF(COUNTIF(A$2:A611,A611)=1,MAX(B$1:B610)+1,""))</f>
        <v/>
      </c>
      <c r="D611" s="12"/>
    </row>
    <row r="612" customFormat="false" ht="15" hidden="false" customHeight="true" outlineLevel="0" collapsed="false">
      <c r="A612" s="12" t="str">
        <f aca="false">IF(Cassette!A17="","",TRIM(Cassette!A17))</f>
        <v/>
      </c>
      <c r="B612" s="12" t="str">
        <f aca="false">IF(A612="","",IF(COUNTIF(A$2:A612,A612)=1,MAX(B$1:B611)+1,""))</f>
        <v/>
      </c>
      <c r="D612" s="12"/>
    </row>
    <row r="613" customFormat="false" ht="15" hidden="false" customHeight="true" outlineLevel="0" collapsed="false">
      <c r="A613" s="12" t="str">
        <f aca="false">IF(Cassette!A18="","",TRIM(Cassette!A18))</f>
        <v/>
      </c>
      <c r="B613" s="12" t="str">
        <f aca="false">IF(A613="","",IF(COUNTIF(A$2:A613,A613)=1,MAX(B$1:B612)+1,""))</f>
        <v/>
      </c>
      <c r="D613" s="12"/>
    </row>
    <row r="614" customFormat="false" ht="15" hidden="false" customHeight="true" outlineLevel="0" collapsed="false">
      <c r="A614" s="12" t="str">
        <f aca="false">IF(Cassette!A19="","",TRIM(Cassette!A19))</f>
        <v/>
      </c>
      <c r="B614" s="12" t="str">
        <f aca="false">IF(A614="","",IF(COUNTIF(A$2:A614,A614)=1,MAX(B$1:B613)+1,""))</f>
        <v/>
      </c>
      <c r="D614" s="12"/>
    </row>
    <row r="615" customFormat="false" ht="15" hidden="false" customHeight="true" outlineLevel="0" collapsed="false">
      <c r="A615" s="12" t="str">
        <f aca="false">IF(Cassette!A20="","",TRIM(Cassette!A20))</f>
        <v/>
      </c>
      <c r="B615" s="12" t="str">
        <f aca="false">IF(A615="","",IF(COUNTIF(A$2:A615,A615)=1,MAX(B$1:B614)+1,""))</f>
        <v/>
      </c>
      <c r="D615" s="12"/>
    </row>
    <row r="616" customFormat="false" ht="15" hidden="false" customHeight="true" outlineLevel="0" collapsed="false">
      <c r="A616" s="12" t="str">
        <f aca="false">IF(Cassette!A21="","",TRIM(Cassette!A21))</f>
        <v/>
      </c>
      <c r="B616" s="12" t="str">
        <f aca="false">IF(A616="","",IF(COUNTIF(A$2:A616,A616)=1,MAX(B$1:B615)+1,""))</f>
        <v/>
      </c>
      <c r="D616" s="12"/>
    </row>
    <row r="617" customFormat="false" ht="15" hidden="false" customHeight="true" outlineLevel="0" collapsed="false">
      <c r="A617" s="12" t="str">
        <f aca="false">IF(Cassette!A22="","",TRIM(Cassette!A22))</f>
        <v/>
      </c>
      <c r="B617" s="12" t="str">
        <f aca="false">IF(A617="","",IF(COUNTIF(A$2:A617,A617)=1,MAX(B$1:B616)+1,""))</f>
        <v/>
      </c>
      <c r="D617" s="12"/>
    </row>
    <row r="618" customFormat="false" ht="15" hidden="false" customHeight="true" outlineLevel="0" collapsed="false">
      <c r="A618" s="12" t="str">
        <f aca="false">IF(Cassette!A23="","",TRIM(Cassette!A23))</f>
        <v/>
      </c>
      <c r="B618" s="12" t="str">
        <f aca="false">IF(A618="","",IF(COUNTIF(A$2:A618,A618)=1,MAX(B$1:B617)+1,""))</f>
        <v/>
      </c>
      <c r="D618" s="12"/>
    </row>
    <row r="619" customFormat="false" ht="15" hidden="false" customHeight="true" outlineLevel="0" collapsed="false">
      <c r="A619" s="12" t="str">
        <f aca="false">IF(Cassette!A24="","",TRIM(Cassette!A24))</f>
        <v/>
      </c>
      <c r="B619" s="12" t="str">
        <f aca="false">IF(A619="","",IF(COUNTIF(A$2:A619,A619)=1,MAX(B$1:B618)+1,""))</f>
        <v/>
      </c>
      <c r="D619" s="12"/>
    </row>
    <row r="620" customFormat="false" ht="15" hidden="false" customHeight="true" outlineLevel="0" collapsed="false">
      <c r="A620" s="12" t="str">
        <f aca="false">IF(Cassette!A25="","",TRIM(Cassette!A25))</f>
        <v/>
      </c>
      <c r="B620" s="12" t="str">
        <f aca="false">IF(A620="","",IF(COUNTIF(A$2:A620,A620)=1,MAX(B$1:B619)+1,""))</f>
        <v/>
      </c>
      <c r="D620" s="12"/>
    </row>
    <row r="621" customFormat="false" ht="15" hidden="false" customHeight="true" outlineLevel="0" collapsed="false">
      <c r="A621" s="12" t="str">
        <f aca="false">IF(Cassette!A26="","",TRIM(Cassette!A26))</f>
        <v/>
      </c>
      <c r="B621" s="12" t="str">
        <f aca="false">IF(A621="","",IF(COUNTIF(A$2:A621,A621)=1,MAX(B$1:B620)+1,""))</f>
        <v/>
      </c>
      <c r="D621" s="12"/>
    </row>
    <row r="622" customFormat="false" ht="15" hidden="false" customHeight="true" outlineLevel="0" collapsed="false">
      <c r="A622" s="12" t="str">
        <f aca="false">IF(Cassette!A27="","",TRIM(Cassette!A27))</f>
        <v/>
      </c>
      <c r="B622" s="12" t="str">
        <f aca="false">IF(A622="","",IF(COUNTIF(A$2:A622,A622)=1,MAX(B$1:B621)+1,""))</f>
        <v/>
      </c>
      <c r="D622" s="12"/>
    </row>
    <row r="623" customFormat="false" ht="15" hidden="false" customHeight="true" outlineLevel="0" collapsed="false">
      <c r="A623" s="12" t="str">
        <f aca="false">IF(Cassette!A28="","",TRIM(Cassette!A28))</f>
        <v/>
      </c>
      <c r="B623" s="12" t="str">
        <f aca="false">IF(A623="","",IF(COUNTIF(A$2:A623,A623)=1,MAX(B$1:B622)+1,""))</f>
        <v/>
      </c>
      <c r="D623" s="12"/>
    </row>
    <row r="624" customFormat="false" ht="15" hidden="false" customHeight="true" outlineLevel="0" collapsed="false">
      <c r="A624" s="12" t="str">
        <f aca="false">IF(Cassette!A29="","",TRIM(Cassette!A29))</f>
        <v/>
      </c>
      <c r="B624" s="12" t="str">
        <f aca="false">IF(A624="","",IF(COUNTIF(A$2:A624,A624)=1,MAX(B$1:B623)+1,""))</f>
        <v/>
      </c>
      <c r="D624" s="12"/>
    </row>
    <row r="625" customFormat="false" ht="15" hidden="false" customHeight="true" outlineLevel="0" collapsed="false">
      <c r="A625" s="12" t="str">
        <f aca="false">IF(Cassette!A30="","",TRIM(Cassette!A30))</f>
        <v/>
      </c>
      <c r="B625" s="12" t="str">
        <f aca="false">IF(A625="","",IF(COUNTIF(A$2:A625,A625)=1,MAX(B$1:B624)+1,""))</f>
        <v/>
      </c>
      <c r="D625" s="12"/>
    </row>
    <row r="626" customFormat="false" ht="15" hidden="false" customHeight="true" outlineLevel="0" collapsed="false">
      <c r="A626" s="12" t="str">
        <f aca="false">IF(Cassette!A31="","",TRIM(Cassette!A31))</f>
        <v/>
      </c>
      <c r="B626" s="12" t="str">
        <f aca="false">IF(A626="","",IF(COUNTIF(A$2:A626,A626)=1,MAX(B$1:B625)+1,""))</f>
        <v/>
      </c>
      <c r="D626" s="12"/>
    </row>
    <row r="627" customFormat="false" ht="15" hidden="false" customHeight="true" outlineLevel="0" collapsed="false">
      <c r="A627" s="12" t="str">
        <f aca="false">IF(Cassette!A32="","",TRIM(Cassette!A32))</f>
        <v/>
      </c>
      <c r="B627" s="12" t="str">
        <f aca="false">IF(A627="","",IF(COUNTIF(A$2:A627,A627)=1,MAX(B$1:B626)+1,""))</f>
        <v/>
      </c>
      <c r="D627" s="12"/>
    </row>
    <row r="628" customFormat="false" ht="15" hidden="false" customHeight="true" outlineLevel="0" collapsed="false">
      <c r="A628" s="12" t="str">
        <f aca="false">IF(Cassette!A33="","",TRIM(Cassette!A33))</f>
        <v/>
      </c>
      <c r="B628" s="12" t="str">
        <f aca="false">IF(A628="","",IF(COUNTIF(A$2:A628,A628)=1,MAX(B$1:B627)+1,""))</f>
        <v/>
      </c>
      <c r="D628" s="12"/>
    </row>
    <row r="629" customFormat="false" ht="15" hidden="false" customHeight="true" outlineLevel="0" collapsed="false">
      <c r="A629" s="12" t="str">
        <f aca="false">IF(Cassette!A34="","",TRIM(Cassette!A34))</f>
        <v/>
      </c>
      <c r="B629" s="12" t="str">
        <f aca="false">IF(A629="","",IF(COUNTIF(A$2:A629,A629)=1,MAX(B$1:B628)+1,""))</f>
        <v/>
      </c>
      <c r="D629" s="12"/>
    </row>
    <row r="630" customFormat="false" ht="15" hidden="false" customHeight="true" outlineLevel="0" collapsed="false">
      <c r="A630" s="12" t="str">
        <f aca="false">IF(Cassette!A35="","",TRIM(Cassette!A35))</f>
        <v/>
      </c>
      <c r="B630" s="12" t="str">
        <f aca="false">IF(A630="","",IF(COUNTIF(A$2:A630,A630)=1,MAX(B$1:B629)+1,""))</f>
        <v/>
      </c>
      <c r="D630" s="12"/>
    </row>
    <row r="631" customFormat="false" ht="15" hidden="false" customHeight="true" outlineLevel="0" collapsed="false">
      <c r="A631" s="12" t="str">
        <f aca="false">IF(Cassette!A36="","",TRIM(Cassette!A36))</f>
        <v/>
      </c>
      <c r="B631" s="12" t="str">
        <f aca="false">IF(A631="","",IF(COUNTIF(A$2:A631,A631)=1,MAX(B$1:B630)+1,""))</f>
        <v/>
      </c>
      <c r="D631" s="12"/>
    </row>
    <row r="632" customFormat="false" ht="15" hidden="false" customHeight="true" outlineLevel="0" collapsed="false">
      <c r="A632" s="12" t="str">
        <f aca="false">IF(Cassette!A37="","",TRIM(Cassette!A37))</f>
        <v/>
      </c>
      <c r="B632" s="12" t="str">
        <f aca="false">IF(A632="","",IF(COUNTIF(A$2:A632,A632)=1,MAX(B$1:B631)+1,""))</f>
        <v/>
      </c>
      <c r="D632" s="12"/>
    </row>
    <row r="633" customFormat="false" ht="15" hidden="false" customHeight="true" outlineLevel="0" collapsed="false">
      <c r="A633" s="12" t="str">
        <f aca="false">IF(Cassette!A38="","",TRIM(Cassette!A38))</f>
        <v/>
      </c>
      <c r="B633" s="12" t="str">
        <f aca="false">IF(A633="","",IF(COUNTIF(A$2:A633,A633)=1,MAX(B$1:B632)+1,""))</f>
        <v/>
      </c>
      <c r="D633" s="12"/>
    </row>
    <row r="634" customFormat="false" ht="15" hidden="false" customHeight="true" outlineLevel="0" collapsed="false">
      <c r="A634" s="12" t="str">
        <f aca="false">IF(Cassette!A39="","",TRIM(Cassette!A39))</f>
        <v/>
      </c>
      <c r="B634" s="12" t="str">
        <f aca="false">IF(A634="","",IF(COUNTIF(A$2:A634,A634)=1,MAX(B$1:B633)+1,""))</f>
        <v/>
      </c>
      <c r="D634" s="12"/>
    </row>
    <row r="635" customFormat="false" ht="15" hidden="false" customHeight="true" outlineLevel="0" collapsed="false">
      <c r="A635" s="12" t="str">
        <f aca="false">IF(Cassette!A40="","",TRIM(Cassette!A40))</f>
        <v/>
      </c>
      <c r="B635" s="12" t="str">
        <f aca="false">IF(A635="","",IF(COUNTIF(A$2:A635,A635)=1,MAX(B$1:B634)+1,""))</f>
        <v/>
      </c>
      <c r="D635" s="12"/>
    </row>
    <row r="636" customFormat="false" ht="15" hidden="false" customHeight="true" outlineLevel="0" collapsed="false">
      <c r="A636" s="12" t="str">
        <f aca="false">IF(Cassette!A41="","",TRIM(Cassette!A41))</f>
        <v/>
      </c>
      <c r="B636" s="12" t="str">
        <f aca="false">IF(A636="","",IF(COUNTIF(A$2:A636,A636)=1,MAX(B$1:B635)+1,""))</f>
        <v/>
      </c>
      <c r="D636" s="12"/>
    </row>
    <row r="637" customFormat="false" ht="15" hidden="false" customHeight="true" outlineLevel="0" collapsed="false">
      <c r="A637" s="12" t="str">
        <f aca="false">IF(Cassette!A42="","",TRIM(Cassette!A42))</f>
        <v/>
      </c>
      <c r="B637" s="12" t="str">
        <f aca="false">IF(A637="","",IF(COUNTIF(A$2:A637,A637)=1,MAX(B$1:B636)+1,""))</f>
        <v/>
      </c>
      <c r="D637" s="12"/>
    </row>
    <row r="638" customFormat="false" ht="15" hidden="false" customHeight="true" outlineLevel="0" collapsed="false">
      <c r="A638" s="12" t="str">
        <f aca="false">IF(Cassette!A43="","",TRIM(Cassette!A43))</f>
        <v/>
      </c>
      <c r="B638" s="12" t="str">
        <f aca="false">IF(A638="","",IF(COUNTIF(A$2:A638,A638)=1,MAX(B$1:B637)+1,""))</f>
        <v/>
      </c>
      <c r="D638" s="12"/>
    </row>
    <row r="639" customFormat="false" ht="15" hidden="false" customHeight="true" outlineLevel="0" collapsed="false">
      <c r="A639" s="12" t="str">
        <f aca="false">IF(Cassette!A44="","",TRIM(Cassette!A44))</f>
        <v/>
      </c>
      <c r="B639" s="12" t="str">
        <f aca="false">IF(A639="","",IF(COUNTIF(A$2:A639,A639)=1,MAX(B$1:B638)+1,""))</f>
        <v/>
      </c>
      <c r="D639" s="12"/>
    </row>
    <row r="640" customFormat="false" ht="15" hidden="false" customHeight="true" outlineLevel="0" collapsed="false">
      <c r="A640" s="12" t="str">
        <f aca="false">IF(Cassette!A45="","",TRIM(Cassette!A45))</f>
        <v/>
      </c>
      <c r="B640" s="12" t="str">
        <f aca="false">IF(A640="","",IF(COUNTIF(A$2:A640,A640)=1,MAX(B$1:B639)+1,""))</f>
        <v/>
      </c>
      <c r="D640" s="12"/>
    </row>
    <row r="641" customFormat="false" ht="15" hidden="false" customHeight="true" outlineLevel="0" collapsed="false">
      <c r="A641" s="12" t="str">
        <f aca="false">IF(Cassette!A46="","",TRIM(Cassette!A46))</f>
        <v/>
      </c>
      <c r="B641" s="12" t="str">
        <f aca="false">IF(A641="","",IF(COUNTIF(A$2:A641,A641)=1,MAX(B$1:B640)+1,""))</f>
        <v/>
      </c>
      <c r="D641" s="12"/>
    </row>
    <row r="642" customFormat="false" ht="15" hidden="false" customHeight="true" outlineLevel="0" collapsed="false">
      <c r="A642" s="12" t="str">
        <f aca="false">IF(Cassette!A47="","",TRIM(Cassette!A47))</f>
        <v/>
      </c>
      <c r="B642" s="12" t="str">
        <f aca="false">IF(A642="","",IF(COUNTIF(A$2:A642,A642)=1,MAX(B$1:B641)+1,""))</f>
        <v/>
      </c>
      <c r="D642" s="12"/>
    </row>
    <row r="643" customFormat="false" ht="15" hidden="false" customHeight="true" outlineLevel="0" collapsed="false">
      <c r="A643" s="12" t="str">
        <f aca="false">IF(Cassette!A48="","",TRIM(Cassette!A48))</f>
        <v/>
      </c>
      <c r="B643" s="12" t="str">
        <f aca="false">IF(A643="","",IF(COUNTIF(A$2:A643,A643)=1,MAX(B$1:B642)+1,""))</f>
        <v/>
      </c>
      <c r="D643" s="12"/>
    </row>
    <row r="644" customFormat="false" ht="15" hidden="false" customHeight="true" outlineLevel="0" collapsed="false">
      <c r="A644" s="12" t="str">
        <f aca="false">IF(Cassette!A49="","",TRIM(Cassette!A49))</f>
        <v/>
      </c>
      <c r="B644" s="12" t="str">
        <f aca="false">IF(A644="","",IF(COUNTIF(A$2:A644,A644)=1,MAX(B$1:B643)+1,""))</f>
        <v/>
      </c>
      <c r="D644" s="12"/>
    </row>
    <row r="645" customFormat="false" ht="15" hidden="false" customHeight="true" outlineLevel="0" collapsed="false">
      <c r="A645" s="12" t="str">
        <f aca="false">IF(Cassette!A50="","",TRIM(Cassette!A50))</f>
        <v/>
      </c>
      <c r="B645" s="12" t="str">
        <f aca="false">IF(A645="","",IF(COUNTIF(A$2:A645,A645)=1,MAX(B$1:B644)+1,""))</f>
        <v/>
      </c>
      <c r="D645" s="12"/>
    </row>
    <row r="646" customFormat="false" ht="15" hidden="false" customHeight="true" outlineLevel="0" collapsed="false">
      <c r="A646" s="12" t="str">
        <f aca="false">IF(Cassette!A51="","",TRIM(Cassette!A51))</f>
        <v/>
      </c>
      <c r="B646" s="12" t="str">
        <f aca="false">IF(A646="","",IF(COUNTIF(A$2:A646,A646)=1,MAX(B$1:B645)+1,""))</f>
        <v/>
      </c>
      <c r="D646" s="12"/>
    </row>
    <row r="647" customFormat="false" ht="15" hidden="false" customHeight="true" outlineLevel="0" collapsed="false">
      <c r="A647" s="12" t="str">
        <f aca="false">IF(Cassette!A52="","",TRIM(Cassette!A52))</f>
        <v/>
      </c>
      <c r="B647" s="12" t="str">
        <f aca="false">IF(A647="","",IF(COUNTIF(A$2:A647,A647)=1,MAX(B$1:B646)+1,""))</f>
        <v/>
      </c>
      <c r="D647" s="12"/>
    </row>
    <row r="648" customFormat="false" ht="15" hidden="false" customHeight="true" outlineLevel="0" collapsed="false">
      <c r="A648" s="12" t="str">
        <f aca="false">IF(Cassette!A53="","",TRIM(Cassette!A53))</f>
        <v/>
      </c>
      <c r="B648" s="12" t="str">
        <f aca="false">IF(A648="","",IF(COUNTIF(A$2:A648,A648)=1,MAX(B$1:B647)+1,""))</f>
        <v/>
      </c>
      <c r="D648" s="12"/>
    </row>
    <row r="649" customFormat="false" ht="15" hidden="false" customHeight="true" outlineLevel="0" collapsed="false">
      <c r="A649" s="12" t="str">
        <f aca="false">IF(Cassette!A54="","",TRIM(Cassette!A54))</f>
        <v/>
      </c>
      <c r="B649" s="12" t="str">
        <f aca="false">IF(A649="","",IF(COUNTIF(A$2:A649,A649)=1,MAX(B$1:B648)+1,""))</f>
        <v/>
      </c>
      <c r="D649" s="12"/>
    </row>
    <row r="650" customFormat="false" ht="15" hidden="false" customHeight="true" outlineLevel="0" collapsed="false">
      <c r="A650" s="12" t="str">
        <f aca="false">IF(Cassette!A55="","",TRIM(Cassette!A55))</f>
        <v/>
      </c>
      <c r="B650" s="12" t="str">
        <f aca="false">IF(A650="","",IF(COUNTIF(A$2:A650,A650)=1,MAX(B$1:B649)+1,""))</f>
        <v/>
      </c>
      <c r="D650" s="12"/>
    </row>
    <row r="651" customFormat="false" ht="15" hidden="false" customHeight="true" outlineLevel="0" collapsed="false">
      <c r="A651" s="12" t="str">
        <f aca="false">IF(Cassette!A56="","",TRIM(Cassette!A56))</f>
        <v/>
      </c>
      <c r="B651" s="12" t="str">
        <f aca="false">IF(A651="","",IF(COUNTIF(A$2:A651,A651)=1,MAX(B$1:B650)+1,""))</f>
        <v/>
      </c>
      <c r="D651" s="12"/>
    </row>
    <row r="652" customFormat="false" ht="15" hidden="false" customHeight="true" outlineLevel="0" collapsed="false">
      <c r="A652" s="12" t="str">
        <f aca="false">IF(Cassette!A57="","",TRIM(Cassette!A57))</f>
        <v/>
      </c>
      <c r="B652" s="12" t="str">
        <f aca="false">IF(A652="","",IF(COUNTIF(A$2:A652,A652)=1,MAX(B$1:B651)+1,""))</f>
        <v/>
      </c>
      <c r="D652" s="12"/>
    </row>
    <row r="653" customFormat="false" ht="15" hidden="false" customHeight="true" outlineLevel="0" collapsed="false">
      <c r="A653" s="12" t="str">
        <f aca="false">IF(Cassette!A58="","",TRIM(Cassette!A58))</f>
        <v/>
      </c>
      <c r="B653" s="12" t="str">
        <f aca="false">IF(A653="","",IF(COUNTIF(A$2:A653,A653)=1,MAX(B$1:B652)+1,""))</f>
        <v/>
      </c>
      <c r="D653" s="12"/>
    </row>
    <row r="654" customFormat="false" ht="15" hidden="false" customHeight="true" outlineLevel="0" collapsed="false">
      <c r="A654" s="12" t="str">
        <f aca="false">IF(Cassette!A59="","",TRIM(Cassette!A59))</f>
        <v/>
      </c>
      <c r="B654" s="12" t="str">
        <f aca="false">IF(A654="","",IF(COUNTIF(A$2:A654,A654)=1,MAX(B$1:B653)+1,""))</f>
        <v/>
      </c>
      <c r="D654" s="12"/>
    </row>
    <row r="655" customFormat="false" ht="15" hidden="false" customHeight="true" outlineLevel="0" collapsed="false">
      <c r="A655" s="12" t="str">
        <f aca="false">IF(Cassette!A60="","",TRIM(Cassette!A60))</f>
        <v/>
      </c>
      <c r="B655" s="12" t="str">
        <f aca="false">IF(A655="","",IF(COUNTIF(A$2:A655,A655)=1,MAX(B$1:B654)+1,""))</f>
        <v/>
      </c>
      <c r="D655" s="12"/>
    </row>
    <row r="656" customFormat="false" ht="15" hidden="false" customHeight="true" outlineLevel="0" collapsed="false">
      <c r="A656" s="12" t="str">
        <f aca="false">IF(Cassette!A61="","",TRIM(Cassette!A61))</f>
        <v/>
      </c>
      <c r="B656" s="12" t="str">
        <f aca="false">IF(A656="","",IF(COUNTIF(A$2:A656,A656)=1,MAX(B$1:B655)+1,""))</f>
        <v/>
      </c>
      <c r="D656" s="12"/>
    </row>
    <row r="657" customFormat="false" ht="15" hidden="false" customHeight="true" outlineLevel="0" collapsed="false">
      <c r="A657" s="12" t="str">
        <f aca="false">IF(Cassette!A62="","",TRIM(Cassette!A62))</f>
        <v/>
      </c>
      <c r="B657" s="12" t="str">
        <f aca="false">IF(A657="","",IF(COUNTIF(A$2:A657,A657)=1,MAX(B$1:B656)+1,""))</f>
        <v/>
      </c>
      <c r="D657" s="12"/>
    </row>
    <row r="658" customFormat="false" ht="15" hidden="false" customHeight="true" outlineLevel="0" collapsed="false">
      <c r="A658" s="12" t="str">
        <f aca="false">IF(Cassette!A63="","",TRIM(Cassette!A63))</f>
        <v/>
      </c>
      <c r="B658" s="12" t="str">
        <f aca="false">IF(A658="","",IF(COUNTIF(A$2:A658,A658)=1,MAX(B$1:B657)+1,""))</f>
        <v/>
      </c>
      <c r="D658" s="12"/>
    </row>
    <row r="659" customFormat="false" ht="15" hidden="false" customHeight="true" outlineLevel="0" collapsed="false">
      <c r="A659" s="12" t="str">
        <f aca="false">IF(Cassette!A64="","",TRIM(Cassette!A64))</f>
        <v/>
      </c>
      <c r="B659" s="12" t="str">
        <f aca="false">IF(A659="","",IF(COUNTIF(A$2:A659,A659)=1,MAX(B$1:B658)+1,""))</f>
        <v/>
      </c>
      <c r="D659" s="12"/>
    </row>
    <row r="660" customFormat="false" ht="15" hidden="false" customHeight="true" outlineLevel="0" collapsed="false">
      <c r="A660" s="12" t="str">
        <f aca="false">IF(Cassette!A65="","",TRIM(Cassette!A65))</f>
        <v/>
      </c>
      <c r="B660" s="12" t="str">
        <f aca="false">IF(A660="","",IF(COUNTIF(A$2:A660,A660)=1,MAX(B$1:B659)+1,""))</f>
        <v/>
      </c>
      <c r="D660" s="12"/>
    </row>
    <row r="661" customFormat="false" ht="15" hidden="false" customHeight="true" outlineLevel="0" collapsed="false">
      <c r="A661" s="12" t="str">
        <f aca="false">IF(Cassette!A66="","",TRIM(Cassette!A66))</f>
        <v/>
      </c>
      <c r="B661" s="12" t="str">
        <f aca="false">IF(A661="","",IF(COUNTIF(A$2:A661,A661)=1,MAX(B$1:B660)+1,""))</f>
        <v/>
      </c>
      <c r="D661" s="12"/>
    </row>
    <row r="662" customFormat="false" ht="15" hidden="false" customHeight="true" outlineLevel="0" collapsed="false">
      <c r="A662" s="12" t="str">
        <f aca="false">IF(Cassette!A67="","",TRIM(Cassette!A67))</f>
        <v/>
      </c>
      <c r="B662" s="12" t="str">
        <f aca="false">IF(A662="","",IF(COUNTIF(A$2:A662,A662)=1,MAX(B$1:B661)+1,""))</f>
        <v/>
      </c>
      <c r="D662" s="12"/>
    </row>
    <row r="663" customFormat="false" ht="15" hidden="false" customHeight="true" outlineLevel="0" collapsed="false">
      <c r="A663" s="12" t="str">
        <f aca="false">IF(Cassette!A68="","",TRIM(Cassette!A68))</f>
        <v/>
      </c>
      <c r="B663" s="12" t="str">
        <f aca="false">IF(A663="","",IF(COUNTIF(A$2:A663,A663)=1,MAX(B$1:B662)+1,""))</f>
        <v/>
      </c>
      <c r="D663" s="12"/>
    </row>
    <row r="664" customFormat="false" ht="15" hidden="false" customHeight="true" outlineLevel="0" collapsed="false">
      <c r="A664" s="12" t="str">
        <f aca="false">IF(Cassette!A69="","",TRIM(Cassette!A69))</f>
        <v/>
      </c>
      <c r="B664" s="12" t="str">
        <f aca="false">IF(A664="","",IF(COUNTIF(A$2:A664,A664)=1,MAX(B$1:B663)+1,""))</f>
        <v/>
      </c>
      <c r="D664" s="12"/>
    </row>
    <row r="665" customFormat="false" ht="15" hidden="false" customHeight="true" outlineLevel="0" collapsed="false">
      <c r="A665" s="12" t="str">
        <f aca="false">IF(Cassette!A70="","",TRIM(Cassette!A70))</f>
        <v/>
      </c>
      <c r="B665" s="12" t="str">
        <f aca="false">IF(A665="","",IF(COUNTIF(A$2:A665,A665)=1,MAX(B$1:B664)+1,""))</f>
        <v/>
      </c>
      <c r="D665" s="12"/>
    </row>
    <row r="666" customFormat="false" ht="15" hidden="false" customHeight="true" outlineLevel="0" collapsed="false">
      <c r="A666" s="12" t="str">
        <f aca="false">IF(Cassette!A71="","",TRIM(Cassette!A71))</f>
        <v/>
      </c>
      <c r="B666" s="12" t="str">
        <f aca="false">IF(A666="","",IF(COUNTIF(A$2:A666,A666)=1,MAX(B$1:B665)+1,""))</f>
        <v/>
      </c>
      <c r="D666" s="12"/>
    </row>
    <row r="667" customFormat="false" ht="15" hidden="false" customHeight="true" outlineLevel="0" collapsed="false">
      <c r="A667" s="12" t="str">
        <f aca="false">IF(Cassette!A72="","",TRIM(Cassette!A72))</f>
        <v/>
      </c>
      <c r="B667" s="12" t="str">
        <f aca="false">IF(A667="","",IF(COUNTIF(A$2:A667,A667)=1,MAX(B$1:B666)+1,""))</f>
        <v/>
      </c>
      <c r="D667" s="12"/>
    </row>
    <row r="668" customFormat="false" ht="15" hidden="false" customHeight="true" outlineLevel="0" collapsed="false">
      <c r="A668" s="12" t="str">
        <f aca="false">IF(Cassette!A73="","",TRIM(Cassette!A73))</f>
        <v/>
      </c>
      <c r="B668" s="12" t="str">
        <f aca="false">IF(A668="","",IF(COUNTIF(A$2:A668,A668)=1,MAX(B$1:B667)+1,""))</f>
        <v/>
      </c>
      <c r="D668" s="12"/>
    </row>
    <row r="669" customFormat="false" ht="15" hidden="false" customHeight="true" outlineLevel="0" collapsed="false">
      <c r="A669" s="12" t="str">
        <f aca="false">IF(Cassette!A74="","",TRIM(Cassette!A74))</f>
        <v/>
      </c>
      <c r="B669" s="12" t="str">
        <f aca="false">IF(A669="","",IF(COUNTIF(A$2:A669,A669)=1,MAX(B$1:B668)+1,""))</f>
        <v/>
      </c>
      <c r="D669" s="12"/>
    </row>
    <row r="670" customFormat="false" ht="15" hidden="false" customHeight="true" outlineLevel="0" collapsed="false">
      <c r="A670" s="12" t="str">
        <f aca="false">IF(Cassette!A75="","",TRIM(Cassette!A75))</f>
        <v/>
      </c>
      <c r="B670" s="12" t="str">
        <f aca="false">IF(A670="","",IF(COUNTIF(A$2:A670,A670)=1,MAX(B$1:B669)+1,""))</f>
        <v/>
      </c>
      <c r="D670" s="12"/>
    </row>
    <row r="671" customFormat="false" ht="15" hidden="false" customHeight="true" outlineLevel="0" collapsed="false">
      <c r="A671" s="12" t="str">
        <f aca="false">IF(Cassette!A76="","",TRIM(Cassette!A76))</f>
        <v/>
      </c>
      <c r="B671" s="12" t="str">
        <f aca="false">IF(A671="","",IF(COUNTIF(A$2:A671,A671)=1,MAX(B$1:B670)+1,""))</f>
        <v/>
      </c>
      <c r="D671" s="12"/>
    </row>
    <row r="672" customFormat="false" ht="15" hidden="false" customHeight="true" outlineLevel="0" collapsed="false">
      <c r="A672" s="12" t="str">
        <f aca="false">IF(Cassette!A77="","",TRIM(Cassette!A77))</f>
        <v/>
      </c>
      <c r="B672" s="12" t="str">
        <f aca="false">IF(A672="","",IF(COUNTIF(A$2:A672,A672)=1,MAX(B$1:B671)+1,""))</f>
        <v/>
      </c>
      <c r="D672" s="12"/>
    </row>
    <row r="673" customFormat="false" ht="15" hidden="false" customHeight="true" outlineLevel="0" collapsed="false">
      <c r="A673" s="12" t="str">
        <f aca="false">IF(Cassette!A78="","",TRIM(Cassette!A78))</f>
        <v/>
      </c>
      <c r="B673" s="12" t="str">
        <f aca="false">IF(A673="","",IF(COUNTIF(A$2:A673,A673)=1,MAX(B$1:B672)+1,""))</f>
        <v/>
      </c>
      <c r="D673" s="12"/>
    </row>
    <row r="674" customFormat="false" ht="15" hidden="false" customHeight="true" outlineLevel="0" collapsed="false">
      <c r="A674" s="12" t="str">
        <f aca="false">IF(Cassette!A79="","",TRIM(Cassette!A79))</f>
        <v/>
      </c>
      <c r="B674" s="12" t="str">
        <f aca="false">IF(A674="","",IF(COUNTIF(A$2:A674,A674)=1,MAX(B$1:B673)+1,""))</f>
        <v/>
      </c>
      <c r="D674" s="12"/>
    </row>
    <row r="675" customFormat="false" ht="15" hidden="false" customHeight="true" outlineLevel="0" collapsed="false">
      <c r="A675" s="12" t="str">
        <f aca="false">IF(Cassette!A80="","",TRIM(Cassette!A80))</f>
        <v/>
      </c>
      <c r="B675" s="12" t="str">
        <f aca="false">IF(A675="","",IF(COUNTIF(A$2:A675,A675)=1,MAX(B$1:B674)+1,""))</f>
        <v/>
      </c>
      <c r="D675" s="12"/>
    </row>
    <row r="676" customFormat="false" ht="15" hidden="false" customHeight="true" outlineLevel="0" collapsed="false">
      <c r="A676" s="12" t="str">
        <f aca="false">IF(Cassette!A81="","",TRIM(Cassette!A81))</f>
        <v/>
      </c>
      <c r="B676" s="12" t="str">
        <f aca="false">IF(A676="","",IF(COUNTIF(A$2:A676,A676)=1,MAX(B$1:B675)+1,""))</f>
        <v/>
      </c>
      <c r="D676" s="12"/>
    </row>
    <row r="677" customFormat="false" ht="15" hidden="false" customHeight="true" outlineLevel="0" collapsed="false">
      <c r="A677" s="12" t="str">
        <f aca="false">IF(Cassette!A82="","",TRIM(Cassette!A82))</f>
        <v/>
      </c>
      <c r="B677" s="12" t="str">
        <f aca="false">IF(A677="","",IF(COUNTIF(A$2:A677,A677)=1,MAX(B$1:B676)+1,""))</f>
        <v/>
      </c>
      <c r="D677" s="12"/>
    </row>
    <row r="678" customFormat="false" ht="15" hidden="false" customHeight="true" outlineLevel="0" collapsed="false">
      <c r="A678" s="12" t="str">
        <f aca="false">IF(Cassette!A83="","",TRIM(Cassette!A83))</f>
        <v/>
      </c>
      <c r="B678" s="12" t="str">
        <f aca="false">IF(A678="","",IF(COUNTIF(A$2:A678,A678)=1,MAX(B$1:B677)+1,""))</f>
        <v/>
      </c>
      <c r="D678" s="12"/>
    </row>
    <row r="679" customFormat="false" ht="15" hidden="false" customHeight="true" outlineLevel="0" collapsed="false">
      <c r="A679" s="12" t="str">
        <f aca="false">IF(Cassette!A84="","",TRIM(Cassette!A84))</f>
        <v/>
      </c>
      <c r="B679" s="12" t="str">
        <f aca="false">IF(A679="","",IF(COUNTIF(A$2:A679,A679)=1,MAX(B$1:B678)+1,""))</f>
        <v/>
      </c>
      <c r="D679" s="12"/>
    </row>
    <row r="680" customFormat="false" ht="15" hidden="false" customHeight="true" outlineLevel="0" collapsed="false">
      <c r="A680" s="12" t="str">
        <f aca="false">IF(Cassette!A85="","",TRIM(Cassette!A85))</f>
        <v/>
      </c>
      <c r="B680" s="12" t="str">
        <f aca="false">IF(A680="","",IF(COUNTIF(A$2:A680,A680)=1,MAX(B$1:B679)+1,""))</f>
        <v/>
      </c>
      <c r="D680" s="12"/>
    </row>
    <row r="681" customFormat="false" ht="15" hidden="false" customHeight="true" outlineLevel="0" collapsed="false">
      <c r="A681" s="12" t="str">
        <f aca="false">IF(Cassette!A86="","",TRIM(Cassette!A86))</f>
        <v/>
      </c>
      <c r="B681" s="12" t="str">
        <f aca="false">IF(A681="","",IF(COUNTIF(A$2:A681,A681)=1,MAX(B$1:B680)+1,""))</f>
        <v/>
      </c>
      <c r="D681" s="12"/>
    </row>
    <row r="682" customFormat="false" ht="15" hidden="false" customHeight="true" outlineLevel="0" collapsed="false">
      <c r="A682" s="12" t="str">
        <f aca="false">IF(Cassette!A87="","",TRIM(Cassette!A87))</f>
        <v/>
      </c>
      <c r="B682" s="12" t="str">
        <f aca="false">IF(A682="","",IF(COUNTIF(A$2:A682,A682)=1,MAX(B$1:B681)+1,""))</f>
        <v/>
      </c>
      <c r="D682" s="12"/>
    </row>
    <row r="683" customFormat="false" ht="15" hidden="false" customHeight="true" outlineLevel="0" collapsed="false">
      <c r="A683" s="12" t="str">
        <f aca="false">IF(Cassette!A88="","",TRIM(Cassette!A88))</f>
        <v/>
      </c>
      <c r="B683" s="12" t="str">
        <f aca="false">IF(A683="","",IF(COUNTIF(A$2:A683,A683)=1,MAX(B$1:B682)+1,""))</f>
        <v/>
      </c>
      <c r="D683" s="12"/>
    </row>
    <row r="684" customFormat="false" ht="15" hidden="false" customHeight="true" outlineLevel="0" collapsed="false">
      <c r="A684" s="12" t="str">
        <f aca="false">IF(Cassette!A89="","",TRIM(Cassette!A89))</f>
        <v/>
      </c>
      <c r="B684" s="12" t="str">
        <f aca="false">IF(A684="","",IF(COUNTIF(A$2:A684,A684)=1,MAX(B$1:B683)+1,""))</f>
        <v/>
      </c>
      <c r="D684" s="12"/>
    </row>
    <row r="685" customFormat="false" ht="15" hidden="false" customHeight="true" outlineLevel="0" collapsed="false">
      <c r="A685" s="12" t="str">
        <f aca="false">IF(Cassette!A90="","",TRIM(Cassette!A90))</f>
        <v/>
      </c>
      <c r="B685" s="12" t="str">
        <f aca="false">IF(A685="","",IF(COUNTIF(A$2:A685,A685)=1,MAX(B$1:B684)+1,""))</f>
        <v/>
      </c>
      <c r="D685" s="12"/>
    </row>
    <row r="686" customFormat="false" ht="15" hidden="false" customHeight="true" outlineLevel="0" collapsed="false">
      <c r="A686" s="12" t="str">
        <f aca="false">IF(Cassette!A91="","",TRIM(Cassette!A91))</f>
        <v/>
      </c>
      <c r="B686" s="12" t="str">
        <f aca="false">IF(A686="","",IF(COUNTIF(A$2:A686,A686)=1,MAX(B$1:B685)+1,""))</f>
        <v/>
      </c>
      <c r="D686" s="12"/>
    </row>
    <row r="687" customFormat="false" ht="15" hidden="false" customHeight="true" outlineLevel="0" collapsed="false">
      <c r="A687" s="12" t="str">
        <f aca="false">IF(Cassette!A92="","",TRIM(Cassette!A92))</f>
        <v/>
      </c>
      <c r="B687" s="12" t="str">
        <f aca="false">IF(A687="","",IF(COUNTIF(A$2:A687,A687)=1,MAX(B$1:B686)+1,""))</f>
        <v/>
      </c>
      <c r="D687" s="12"/>
    </row>
    <row r="688" customFormat="false" ht="15" hidden="false" customHeight="true" outlineLevel="0" collapsed="false">
      <c r="A688" s="12" t="str">
        <f aca="false">IF(Cassette!A93="","",TRIM(Cassette!A93))</f>
        <v/>
      </c>
      <c r="B688" s="12" t="str">
        <f aca="false">IF(A688="","",IF(COUNTIF(A$2:A688,A688)=1,MAX(B$1:B687)+1,""))</f>
        <v/>
      </c>
      <c r="D688" s="12"/>
    </row>
    <row r="689" customFormat="false" ht="15" hidden="false" customHeight="true" outlineLevel="0" collapsed="false">
      <c r="A689" s="12" t="str">
        <f aca="false">IF(Cassette!A94="","",TRIM(Cassette!A94))</f>
        <v/>
      </c>
      <c r="B689" s="12" t="str">
        <f aca="false">IF(A689="","",IF(COUNTIF(A$2:A689,A689)=1,MAX(B$1:B688)+1,""))</f>
        <v/>
      </c>
      <c r="D689" s="12"/>
    </row>
    <row r="690" customFormat="false" ht="15" hidden="false" customHeight="true" outlineLevel="0" collapsed="false">
      <c r="A690" s="12" t="str">
        <f aca="false">IF(Cassette!A95="","",TRIM(Cassette!A95))</f>
        <v/>
      </c>
      <c r="B690" s="12" t="str">
        <f aca="false">IF(A690="","",IF(COUNTIF(A$2:A690,A690)=1,MAX(B$1:B689)+1,""))</f>
        <v/>
      </c>
      <c r="D690" s="12"/>
    </row>
    <row r="691" customFormat="false" ht="15" hidden="false" customHeight="true" outlineLevel="0" collapsed="false">
      <c r="A691" s="12" t="str">
        <f aca="false">IF(Cassette!A96="","",TRIM(Cassette!A96))</f>
        <v/>
      </c>
      <c r="B691" s="12" t="str">
        <f aca="false">IF(A691="","",IF(COUNTIF(A$2:A691,A691)=1,MAX(B$1:B690)+1,""))</f>
        <v/>
      </c>
      <c r="D691" s="12"/>
    </row>
    <row r="692" customFormat="false" ht="15" hidden="false" customHeight="true" outlineLevel="0" collapsed="false">
      <c r="A692" s="12" t="str">
        <f aca="false">IF(Cassette!A97="","",TRIM(Cassette!A97))</f>
        <v/>
      </c>
      <c r="B692" s="12" t="str">
        <f aca="false">IF(A692="","",IF(COUNTIF(A$2:A692,A692)=1,MAX(B$1:B691)+1,""))</f>
        <v/>
      </c>
      <c r="D692" s="12"/>
    </row>
    <row r="693" customFormat="false" ht="15" hidden="false" customHeight="true" outlineLevel="0" collapsed="false">
      <c r="A693" s="12" t="str">
        <f aca="false">IF(Cassette!A98="","",TRIM(Cassette!A98))</f>
        <v/>
      </c>
      <c r="B693" s="12" t="str">
        <f aca="false">IF(A693="","",IF(COUNTIF(A$2:A693,A693)=1,MAX(B$1:B692)+1,""))</f>
        <v/>
      </c>
      <c r="D693" s="12"/>
    </row>
    <row r="694" customFormat="false" ht="15" hidden="false" customHeight="true" outlineLevel="0" collapsed="false">
      <c r="A694" s="12" t="str">
        <f aca="false">IF(Cassette!A99="","",TRIM(Cassette!A99))</f>
        <v/>
      </c>
      <c r="B694" s="12" t="str">
        <f aca="false">IF(A694="","",IF(COUNTIF(A$2:A694,A694)=1,MAX(B$1:B693)+1,""))</f>
        <v/>
      </c>
      <c r="D694" s="12"/>
    </row>
    <row r="695" customFormat="false" ht="15" hidden="false" customHeight="true" outlineLevel="0" collapsed="false">
      <c r="A695" s="12" t="str">
        <f aca="false">IF(Cassette!A100="","",TRIM(Cassette!A100))</f>
        <v/>
      </c>
      <c r="B695" s="12" t="str">
        <f aca="false">IF(A695="","",IF(COUNTIF(A$2:A695,A695)=1,MAX(B$1:B694)+1,""))</f>
        <v/>
      </c>
      <c r="D695" s="12"/>
    </row>
    <row r="696" customFormat="false" ht="15" hidden="false" customHeight="true" outlineLevel="0" collapsed="false">
      <c r="A696" s="12" t="str">
        <f aca="false">IF(Cassette!A101="","",TRIM(Cassette!A101))</f>
        <v/>
      </c>
      <c r="B696" s="12" t="str">
        <f aca="false">IF(A696="","",IF(COUNTIF(A$2:A696,A696)=1,MAX(B$1:B695)+1,""))</f>
        <v/>
      </c>
      <c r="D696" s="12"/>
    </row>
    <row r="697" customFormat="false" ht="15" hidden="false" customHeight="true" outlineLevel="0" collapsed="false">
      <c r="A697" s="12" t="str">
        <f aca="false">IF(Cassette!A102="","",TRIM(Cassette!A102))</f>
        <v/>
      </c>
      <c r="B697" s="12" t="str">
        <f aca="false">IF(A697="","",IF(COUNTIF(A$2:A697,A697)=1,MAX(B$1:B696)+1,""))</f>
        <v/>
      </c>
      <c r="D697" s="12"/>
    </row>
    <row r="698" customFormat="false" ht="15" hidden="false" customHeight="true" outlineLevel="0" collapsed="false">
      <c r="A698" s="12" t="str">
        <f aca="false">IF(Cassette!A103="","",TRIM(Cassette!A103))</f>
        <v/>
      </c>
      <c r="B698" s="12" t="str">
        <f aca="false">IF(A698="","",IF(COUNTIF(A$2:A698,A698)=1,MAX(B$1:B697)+1,""))</f>
        <v/>
      </c>
      <c r="D698" s="12"/>
    </row>
    <row r="699" customFormat="false" ht="15" hidden="false" customHeight="true" outlineLevel="0" collapsed="false">
      <c r="A699" s="12" t="str">
        <f aca="false">IF(Cassette!A104="","",TRIM(Cassette!A104))</f>
        <v/>
      </c>
      <c r="B699" s="12" t="str">
        <f aca="false">IF(A699="","",IF(COUNTIF(A$2:A699,A699)=1,MAX(B$1:B698)+1,""))</f>
        <v/>
      </c>
      <c r="D699" s="12"/>
    </row>
    <row r="700" customFormat="false" ht="15" hidden="false" customHeight="true" outlineLevel="0" collapsed="false">
      <c r="A700" s="12" t="str">
        <f aca="false">IF(Cassette!A105="","",TRIM(Cassette!A105))</f>
        <v/>
      </c>
      <c r="B700" s="12" t="str">
        <f aca="false">IF(A700="","",IF(COUNTIF(A$2:A700,A700)=1,MAX(B$1:B699)+1,""))</f>
        <v/>
      </c>
      <c r="D700" s="12"/>
    </row>
    <row r="701" customFormat="false" ht="15" hidden="false" customHeight="true" outlineLevel="0" collapsed="false">
      <c r="A701" s="12" t="str">
        <f aca="false">IF(Cassette!A106="","",TRIM(Cassette!A106))</f>
        <v/>
      </c>
      <c r="B701" s="12" t="str">
        <f aca="false">IF(A701="","",IF(COUNTIF(A$2:A701,A701)=1,MAX(B$1:B700)+1,""))</f>
        <v/>
      </c>
      <c r="D701" s="12"/>
    </row>
    <row r="702" customFormat="false" ht="15" hidden="false" customHeight="true" outlineLevel="0" collapsed="false">
      <c r="A702" s="12" t="str">
        <f aca="false">IF(Cassette!A107="","",TRIM(Cassette!A107))</f>
        <v/>
      </c>
      <c r="B702" s="12" t="str">
        <f aca="false">IF(A702="","",IF(COUNTIF(A$2:A702,A702)=1,MAX(B$1:B701)+1,""))</f>
        <v/>
      </c>
      <c r="D702" s="12"/>
    </row>
    <row r="703" customFormat="false" ht="15" hidden="false" customHeight="true" outlineLevel="0" collapsed="false">
      <c r="A703" s="12" t="str">
        <f aca="false">IF(Cassette!A108="","",TRIM(Cassette!A108))</f>
        <v/>
      </c>
      <c r="B703" s="12" t="str">
        <f aca="false">IF(A703="","",IF(COUNTIF(A$2:A703,A703)=1,MAX(B$1:B702)+1,""))</f>
        <v/>
      </c>
      <c r="D703" s="12"/>
    </row>
    <row r="704" customFormat="false" ht="15" hidden="false" customHeight="true" outlineLevel="0" collapsed="false">
      <c r="A704" s="12" t="str">
        <f aca="false">IF(Cassette!A109="","",TRIM(Cassette!A109))</f>
        <v/>
      </c>
      <c r="B704" s="12" t="str">
        <f aca="false">IF(A704="","",IF(COUNTIF(A$2:A704,A704)=1,MAX(B$1:B703)+1,""))</f>
        <v/>
      </c>
      <c r="D704" s="12"/>
    </row>
    <row r="705" customFormat="false" ht="15" hidden="false" customHeight="true" outlineLevel="0" collapsed="false">
      <c r="A705" s="12" t="str">
        <f aca="false">IF(Cassette!A110="","",TRIM(Cassette!A110))</f>
        <v/>
      </c>
      <c r="B705" s="12" t="str">
        <f aca="false">IF(A705="","",IF(COUNTIF(A$2:A705,A705)=1,MAX(B$1:B704)+1,""))</f>
        <v/>
      </c>
      <c r="D705" s="12"/>
    </row>
    <row r="706" customFormat="false" ht="15" hidden="false" customHeight="true" outlineLevel="0" collapsed="false">
      <c r="A706" s="12" t="str">
        <f aca="false">IF(Cassette!A111="","",TRIM(Cassette!A111))</f>
        <v/>
      </c>
      <c r="B706" s="12" t="str">
        <f aca="false">IF(A706="","",IF(COUNTIF(A$2:A706,A706)=1,MAX(B$1:B705)+1,""))</f>
        <v/>
      </c>
      <c r="D706" s="12"/>
    </row>
    <row r="707" customFormat="false" ht="15" hidden="false" customHeight="true" outlineLevel="0" collapsed="false">
      <c r="A707" s="12" t="str">
        <f aca="false">IF(Cassette!A112="","",TRIM(Cassette!A112))</f>
        <v/>
      </c>
      <c r="B707" s="12" t="str">
        <f aca="false">IF(A707="","",IF(COUNTIF(A$2:A707,A707)=1,MAX(B$1:B706)+1,""))</f>
        <v/>
      </c>
      <c r="D707" s="12"/>
    </row>
    <row r="708" customFormat="false" ht="15" hidden="false" customHeight="true" outlineLevel="0" collapsed="false">
      <c r="A708" s="12" t="str">
        <f aca="false">IF(Cassette!A113="","",TRIM(Cassette!A113))</f>
        <v/>
      </c>
      <c r="B708" s="12" t="str">
        <f aca="false">IF(A708="","",IF(COUNTIF(A$2:A708,A708)=1,MAX(B$1:B707)+1,""))</f>
        <v/>
      </c>
      <c r="D708" s="12"/>
    </row>
    <row r="709" customFormat="false" ht="15" hidden="false" customHeight="true" outlineLevel="0" collapsed="false">
      <c r="A709" s="12" t="str">
        <f aca="false">IF(Cassette!A114="","",TRIM(Cassette!A114))</f>
        <v/>
      </c>
      <c r="B709" s="12" t="str">
        <f aca="false">IF(A709="","",IF(COUNTIF(A$2:A709,A709)=1,MAX(B$1:B708)+1,""))</f>
        <v/>
      </c>
      <c r="D709" s="12"/>
    </row>
    <row r="710" customFormat="false" ht="15" hidden="false" customHeight="true" outlineLevel="0" collapsed="false">
      <c r="A710" s="12" t="str">
        <f aca="false">IF(Cassette!A115="","",TRIM(Cassette!A115))</f>
        <v/>
      </c>
      <c r="B710" s="12" t="str">
        <f aca="false">IF(A710="","",IF(COUNTIF(A$2:A710,A710)=1,MAX(B$1:B709)+1,""))</f>
        <v/>
      </c>
      <c r="D710" s="12"/>
    </row>
    <row r="711" customFormat="false" ht="15" hidden="false" customHeight="true" outlineLevel="0" collapsed="false">
      <c r="A711" s="12" t="str">
        <f aca="false">IF(Cassette!A116="","",TRIM(Cassette!A116))</f>
        <v/>
      </c>
      <c r="B711" s="12" t="str">
        <f aca="false">IF(A711="","",IF(COUNTIF(A$2:A711,A711)=1,MAX(B$1:B710)+1,""))</f>
        <v/>
      </c>
      <c r="D711" s="12"/>
    </row>
    <row r="712" customFormat="false" ht="15" hidden="false" customHeight="true" outlineLevel="0" collapsed="false">
      <c r="A712" s="12" t="str">
        <f aca="false">IF(Cassette!A117="","",TRIM(Cassette!A117))</f>
        <v/>
      </c>
      <c r="B712" s="12" t="str">
        <f aca="false">IF(A712="","",IF(COUNTIF(A$2:A712,A712)=1,MAX(B$1:B711)+1,""))</f>
        <v/>
      </c>
      <c r="D712" s="12"/>
    </row>
    <row r="713" customFormat="false" ht="15" hidden="false" customHeight="true" outlineLevel="0" collapsed="false">
      <c r="A713" s="12" t="str">
        <f aca="false">IF(Cassette!A118="","",TRIM(Cassette!A118))</f>
        <v/>
      </c>
      <c r="B713" s="12" t="str">
        <f aca="false">IF(A713="","",IF(COUNTIF(A$2:A713,A713)=1,MAX(B$1:B712)+1,""))</f>
        <v/>
      </c>
      <c r="D713" s="12"/>
    </row>
    <row r="714" customFormat="false" ht="15" hidden="false" customHeight="true" outlineLevel="0" collapsed="false">
      <c r="A714" s="12" t="str">
        <f aca="false">IF(Cassette!A119="","",TRIM(Cassette!A119))</f>
        <v/>
      </c>
      <c r="B714" s="12" t="str">
        <f aca="false">IF(A714="","",IF(COUNTIF(A$2:A714,A714)=1,MAX(B$1:B713)+1,""))</f>
        <v/>
      </c>
      <c r="D714" s="12"/>
    </row>
    <row r="715" customFormat="false" ht="15" hidden="false" customHeight="true" outlineLevel="0" collapsed="false">
      <c r="A715" s="12" t="str">
        <f aca="false">IF(Cassette!A120="","",TRIM(Cassette!A120))</f>
        <v/>
      </c>
      <c r="B715" s="12" t="str">
        <f aca="false">IF(A715="","",IF(COUNTIF(A$2:A715,A715)=1,MAX(B$1:B714)+1,""))</f>
        <v/>
      </c>
      <c r="D715" s="12"/>
    </row>
    <row r="716" customFormat="false" ht="15" hidden="false" customHeight="true" outlineLevel="0" collapsed="false">
      <c r="A716" s="12" t="str">
        <f aca="false">IF(Cassette!A121="","",TRIM(Cassette!A121))</f>
        <v/>
      </c>
      <c r="B716" s="12" t="str">
        <f aca="false">IF(A716="","",IF(COUNTIF(A$2:A716,A716)=1,MAX(B$1:B715)+1,""))</f>
        <v/>
      </c>
      <c r="D716" s="12"/>
    </row>
    <row r="717" customFormat="false" ht="15" hidden="false" customHeight="true" outlineLevel="0" collapsed="false">
      <c r="A717" s="12" t="str">
        <f aca="false">IF(Cassette!A122="","",TRIM(Cassette!A122))</f>
        <v/>
      </c>
      <c r="B717" s="12" t="str">
        <f aca="false">IF(A717="","",IF(COUNTIF(A$2:A717,A717)=1,MAX(B$1:B716)+1,""))</f>
        <v/>
      </c>
      <c r="D717" s="12"/>
    </row>
    <row r="718" customFormat="false" ht="15" hidden="false" customHeight="true" outlineLevel="0" collapsed="false">
      <c r="A718" s="12" t="str">
        <f aca="false">IF(Cassette!A123="","",TRIM(Cassette!A123))</f>
        <v/>
      </c>
      <c r="B718" s="12" t="str">
        <f aca="false">IF(A718="","",IF(COUNTIF(A$2:A718,A718)=1,MAX(B$1:B717)+1,""))</f>
        <v/>
      </c>
      <c r="D718" s="12"/>
    </row>
    <row r="719" customFormat="false" ht="15" hidden="false" customHeight="true" outlineLevel="0" collapsed="false">
      <c r="A719" s="12" t="str">
        <f aca="false">IF(Cassette!A124="","",TRIM(Cassette!A124))</f>
        <v/>
      </c>
      <c r="B719" s="12" t="str">
        <f aca="false">IF(A719="","",IF(COUNTIF(A$2:A719,A719)=1,MAX(B$1:B718)+1,""))</f>
        <v/>
      </c>
      <c r="D719" s="12"/>
    </row>
    <row r="720" customFormat="false" ht="15" hidden="false" customHeight="true" outlineLevel="0" collapsed="false">
      <c r="A720" s="12" t="str">
        <f aca="false">IF(Cassette!A125="","",TRIM(Cassette!A125))</f>
        <v/>
      </c>
      <c r="B720" s="12" t="str">
        <f aca="false">IF(A720="","",IF(COUNTIF(A$2:A720,A720)=1,MAX(B$1:B719)+1,""))</f>
        <v/>
      </c>
      <c r="D720" s="12"/>
    </row>
    <row r="721" customFormat="false" ht="15" hidden="false" customHeight="true" outlineLevel="0" collapsed="false">
      <c r="A721" s="12" t="str">
        <f aca="false">IF(Cassette!A126="","",TRIM(Cassette!A126))</f>
        <v/>
      </c>
      <c r="B721" s="12" t="str">
        <f aca="false">IF(A721="","",IF(COUNTIF(A$2:A721,A721)=1,MAX(B$1:B720)+1,""))</f>
        <v/>
      </c>
      <c r="D721" s="12"/>
    </row>
    <row r="722" customFormat="false" ht="15" hidden="false" customHeight="true" outlineLevel="0" collapsed="false">
      <c r="A722" s="12" t="str">
        <f aca="false">IF(Cassette!A127="","",TRIM(Cassette!A127))</f>
        <v/>
      </c>
      <c r="B722" s="12" t="str">
        <f aca="false">IF(A722="","",IF(COUNTIF(A$2:A722,A722)=1,MAX(B$1:B721)+1,""))</f>
        <v/>
      </c>
      <c r="D722" s="12"/>
    </row>
    <row r="723" customFormat="false" ht="15" hidden="false" customHeight="true" outlineLevel="0" collapsed="false">
      <c r="A723" s="12" t="str">
        <f aca="false">IF(Cassette!A128="","",TRIM(Cassette!A128))</f>
        <v/>
      </c>
      <c r="B723" s="12" t="str">
        <f aca="false">IF(A723="","",IF(COUNTIF(A$2:A723,A723)=1,MAX(B$1:B722)+1,""))</f>
        <v/>
      </c>
      <c r="D723" s="12"/>
    </row>
    <row r="724" customFormat="false" ht="15" hidden="false" customHeight="true" outlineLevel="0" collapsed="false">
      <c r="A724" s="12" t="str">
        <f aca="false">IF(Cassette!A129="","",TRIM(Cassette!A129))</f>
        <v/>
      </c>
      <c r="B724" s="12" t="str">
        <f aca="false">IF(A724="","",IF(COUNTIF(A$2:A724,A724)=1,MAX(B$1:B723)+1,""))</f>
        <v/>
      </c>
      <c r="D724" s="12"/>
    </row>
    <row r="725" customFormat="false" ht="15" hidden="false" customHeight="true" outlineLevel="0" collapsed="false">
      <c r="A725" s="12" t="str">
        <f aca="false">IF(Cassette!A130="","",TRIM(Cassette!A130))</f>
        <v/>
      </c>
      <c r="B725" s="12" t="str">
        <f aca="false">IF(A725="","",IF(COUNTIF(A$2:A725,A725)=1,MAX(B$1:B724)+1,""))</f>
        <v/>
      </c>
      <c r="D725" s="12"/>
    </row>
    <row r="726" customFormat="false" ht="15" hidden="false" customHeight="true" outlineLevel="0" collapsed="false">
      <c r="A726" s="12" t="str">
        <f aca="false">IF(Cassette!A131="","",TRIM(Cassette!A131))</f>
        <v/>
      </c>
      <c r="B726" s="12" t="str">
        <f aca="false">IF(A726="","",IF(COUNTIF(A$2:A726,A726)=1,MAX(B$1:B725)+1,""))</f>
        <v/>
      </c>
      <c r="D726" s="12"/>
    </row>
    <row r="727" customFormat="false" ht="15" hidden="false" customHeight="true" outlineLevel="0" collapsed="false">
      <c r="A727" s="12" t="str">
        <f aca="false">IF(Cassette!A132="","",TRIM(Cassette!A132))</f>
        <v/>
      </c>
      <c r="B727" s="12" t="str">
        <f aca="false">IF(A727="","",IF(COUNTIF(A$2:A727,A727)=1,MAX(B$1:B726)+1,""))</f>
        <v/>
      </c>
      <c r="D727" s="12"/>
    </row>
    <row r="728" customFormat="false" ht="15" hidden="false" customHeight="true" outlineLevel="0" collapsed="false">
      <c r="A728" s="12" t="str">
        <f aca="false">IF(Cassette!A133="","",TRIM(Cassette!A133))</f>
        <v/>
      </c>
      <c r="B728" s="12" t="str">
        <f aca="false">IF(A728="","",IF(COUNTIF(A$2:A728,A728)=1,MAX(B$1:B727)+1,""))</f>
        <v/>
      </c>
      <c r="D728" s="12"/>
    </row>
    <row r="729" customFormat="false" ht="15" hidden="false" customHeight="true" outlineLevel="0" collapsed="false">
      <c r="A729" s="12" t="str">
        <f aca="false">IF(Cassette!A134="","",TRIM(Cassette!A134))</f>
        <v/>
      </c>
      <c r="B729" s="12" t="str">
        <f aca="false">IF(A729="","",IF(COUNTIF(A$2:A729,A729)=1,MAX(B$1:B728)+1,""))</f>
        <v/>
      </c>
      <c r="D729" s="12"/>
    </row>
    <row r="730" customFormat="false" ht="15" hidden="false" customHeight="true" outlineLevel="0" collapsed="false">
      <c r="A730" s="12" t="str">
        <f aca="false">IF(Cassette!A135="","",TRIM(Cassette!A135))</f>
        <v/>
      </c>
      <c r="B730" s="12" t="str">
        <f aca="false">IF(A730="","",IF(COUNTIF(A$2:A730,A730)=1,MAX(B$1:B729)+1,""))</f>
        <v/>
      </c>
      <c r="D730" s="12"/>
    </row>
    <row r="731" customFormat="false" ht="15" hidden="false" customHeight="true" outlineLevel="0" collapsed="false">
      <c r="A731" s="12" t="str">
        <f aca="false">IF(Cassette!A136="","",TRIM(Cassette!A136))</f>
        <v/>
      </c>
      <c r="B731" s="12" t="str">
        <f aca="false">IF(A731="","",IF(COUNTIF(A$2:A731,A731)=1,MAX(B$1:B730)+1,""))</f>
        <v/>
      </c>
      <c r="D731" s="12"/>
    </row>
    <row r="732" customFormat="false" ht="15" hidden="false" customHeight="true" outlineLevel="0" collapsed="false">
      <c r="A732" s="12" t="str">
        <f aca="false">IF(Cassette!A137="","",TRIM(Cassette!A137))</f>
        <v/>
      </c>
      <c r="B732" s="12" t="str">
        <f aca="false">IF(A732="","",IF(COUNTIF(A$2:A732,A732)=1,MAX(B$1:B731)+1,""))</f>
        <v/>
      </c>
      <c r="D732" s="12"/>
    </row>
    <row r="733" customFormat="false" ht="15" hidden="false" customHeight="true" outlineLevel="0" collapsed="false">
      <c r="A733" s="12" t="str">
        <f aca="false">IF(Cassette!A138="","",TRIM(Cassette!A138))</f>
        <v/>
      </c>
      <c r="B733" s="12" t="str">
        <f aca="false">IF(A733="","",IF(COUNTIF(A$2:A733,A733)=1,MAX(B$1:B732)+1,""))</f>
        <v/>
      </c>
      <c r="D733" s="12"/>
    </row>
    <row r="734" customFormat="false" ht="15" hidden="false" customHeight="true" outlineLevel="0" collapsed="false">
      <c r="A734" s="12" t="str">
        <f aca="false">IF(Cassette!A139="","",TRIM(Cassette!A139))</f>
        <v/>
      </c>
      <c r="B734" s="12" t="str">
        <f aca="false">IF(A734="","",IF(COUNTIF(A$2:A734,A734)=1,MAX(B$1:B733)+1,""))</f>
        <v/>
      </c>
      <c r="D734" s="12"/>
    </row>
    <row r="735" customFormat="false" ht="15" hidden="false" customHeight="true" outlineLevel="0" collapsed="false">
      <c r="A735" s="12" t="str">
        <f aca="false">IF(Cassette!A140="","",TRIM(Cassette!A140))</f>
        <v/>
      </c>
      <c r="B735" s="12" t="str">
        <f aca="false">IF(A735="","",IF(COUNTIF(A$2:A735,A735)=1,MAX(B$1:B734)+1,""))</f>
        <v/>
      </c>
      <c r="D735" s="12"/>
    </row>
    <row r="736" customFormat="false" ht="15" hidden="false" customHeight="true" outlineLevel="0" collapsed="false">
      <c r="A736" s="12" t="str">
        <f aca="false">IF(Cassette!A141="","",TRIM(Cassette!A141))</f>
        <v/>
      </c>
      <c r="B736" s="12" t="str">
        <f aca="false">IF(A736="","",IF(COUNTIF(A$2:A736,A736)=1,MAX(B$1:B735)+1,""))</f>
        <v/>
      </c>
      <c r="D736" s="12"/>
    </row>
    <row r="737" customFormat="false" ht="15" hidden="false" customHeight="true" outlineLevel="0" collapsed="false">
      <c r="A737" s="12" t="str">
        <f aca="false">IF(Cassette!A142="","",TRIM(Cassette!A142))</f>
        <v/>
      </c>
      <c r="B737" s="12" t="str">
        <f aca="false">IF(A737="","",IF(COUNTIF(A$2:A737,A737)=1,MAX(B$1:B736)+1,""))</f>
        <v/>
      </c>
      <c r="D737" s="12"/>
    </row>
    <row r="738" customFormat="false" ht="15" hidden="false" customHeight="true" outlineLevel="0" collapsed="false">
      <c r="A738" s="12" t="str">
        <f aca="false">IF(Cassette!A143="","",TRIM(Cassette!A143))</f>
        <v/>
      </c>
      <c r="B738" s="12" t="str">
        <f aca="false">IF(A738="","",IF(COUNTIF(A$2:A738,A738)=1,MAX(B$1:B737)+1,""))</f>
        <v/>
      </c>
      <c r="D738" s="12"/>
    </row>
    <row r="739" customFormat="false" ht="15" hidden="false" customHeight="true" outlineLevel="0" collapsed="false">
      <c r="A739" s="12" t="str">
        <f aca="false">IF(Cassette!A144="","",TRIM(Cassette!A144))</f>
        <v/>
      </c>
      <c r="B739" s="12" t="str">
        <f aca="false">IF(A739="","",IF(COUNTIF(A$2:A739,A739)=1,MAX(B$1:B738)+1,""))</f>
        <v/>
      </c>
      <c r="D739" s="12"/>
    </row>
    <row r="740" customFormat="false" ht="15" hidden="false" customHeight="true" outlineLevel="0" collapsed="false">
      <c r="A740" s="12" t="str">
        <f aca="false">IF(Cassette!A145="","",TRIM(Cassette!A145))</f>
        <v/>
      </c>
      <c r="B740" s="12" t="str">
        <f aca="false">IF(A740="","",IF(COUNTIF(A$2:A740,A740)=1,MAX(B$1:B739)+1,""))</f>
        <v/>
      </c>
      <c r="D740" s="12"/>
    </row>
    <row r="741" customFormat="false" ht="15" hidden="false" customHeight="true" outlineLevel="0" collapsed="false">
      <c r="A741" s="12" t="str">
        <f aca="false">IF(Cassette!A146="","",TRIM(Cassette!A146))</f>
        <v/>
      </c>
      <c r="B741" s="12" t="str">
        <f aca="false">IF(A741="","",IF(COUNTIF(A$2:A741,A741)=1,MAX(B$1:B740)+1,""))</f>
        <v/>
      </c>
      <c r="D741" s="12"/>
    </row>
    <row r="742" customFormat="false" ht="15" hidden="false" customHeight="true" outlineLevel="0" collapsed="false">
      <c r="A742" s="12" t="str">
        <f aca="false">IF(Cassette!A147="","",TRIM(Cassette!A147))</f>
        <v/>
      </c>
      <c r="B742" s="12" t="str">
        <f aca="false">IF(A742="","",IF(COUNTIF(A$2:A742,A742)=1,MAX(B$1:B741)+1,""))</f>
        <v/>
      </c>
      <c r="D742" s="12"/>
    </row>
    <row r="743" customFormat="false" ht="15" hidden="false" customHeight="true" outlineLevel="0" collapsed="false">
      <c r="A743" s="12" t="str">
        <f aca="false">IF(Cassette!A148="","",TRIM(Cassette!A148))</f>
        <v/>
      </c>
      <c r="B743" s="12" t="str">
        <f aca="false">IF(A743="","",IF(COUNTIF(A$2:A743,A743)=1,MAX(B$1:B742)+1,""))</f>
        <v/>
      </c>
      <c r="D743" s="12"/>
    </row>
    <row r="744" customFormat="false" ht="15" hidden="false" customHeight="true" outlineLevel="0" collapsed="false">
      <c r="A744" s="12" t="str">
        <f aca="false">IF(Cassette!A149="","",TRIM(Cassette!A149))</f>
        <v/>
      </c>
      <c r="B744" s="12" t="str">
        <f aca="false">IF(A744="","",IF(COUNTIF(A$2:A744,A744)=1,MAX(B$1:B743)+1,""))</f>
        <v/>
      </c>
      <c r="D744" s="12"/>
    </row>
    <row r="745" customFormat="false" ht="15" hidden="false" customHeight="true" outlineLevel="0" collapsed="false">
      <c r="A745" s="12" t="str">
        <f aca="false">IF(Cassette!A150="","",TRIM(Cassette!A150))</f>
        <v/>
      </c>
      <c r="B745" s="12" t="str">
        <f aca="false">IF(A745="","",IF(COUNTIF(A$2:A745,A745)=1,MAX(B$1:B744)+1,""))</f>
        <v/>
      </c>
      <c r="D745" s="12"/>
    </row>
    <row r="746" customFormat="false" ht="15" hidden="false" customHeight="true" outlineLevel="0" collapsed="false">
      <c r="A746" s="12" t="str">
        <f aca="false">IF(Cassette!A151="","",TRIM(Cassette!A151))</f>
        <v/>
      </c>
      <c r="B746" s="12" t="str">
        <f aca="false">IF(A746="","",IF(COUNTIF(A$2:A746,A746)=1,MAX(B$1:B745)+1,""))</f>
        <v/>
      </c>
      <c r="D746" s="12"/>
    </row>
    <row r="747" customFormat="false" ht="15" hidden="false" customHeight="true" outlineLevel="0" collapsed="false">
      <c r="A747" s="12" t="str">
        <f aca="false">IF(Cassette!A152="","",TRIM(Cassette!A152))</f>
        <v/>
      </c>
      <c r="B747" s="12" t="str">
        <f aca="false">IF(A747="","",IF(COUNTIF(A$2:A747,A747)=1,MAX(B$1:B746)+1,""))</f>
        <v/>
      </c>
      <c r="D747" s="12"/>
    </row>
    <row r="748" customFormat="false" ht="15" hidden="false" customHeight="true" outlineLevel="0" collapsed="false">
      <c r="A748" s="12" t="str">
        <f aca="false">IF(Cassette!A153="","",TRIM(Cassette!A153))</f>
        <v/>
      </c>
      <c r="B748" s="12" t="str">
        <f aca="false">IF(A748="","",IF(COUNTIF(A$2:A748,A748)=1,MAX(B$1:B747)+1,""))</f>
        <v/>
      </c>
      <c r="D748" s="12"/>
    </row>
    <row r="749" customFormat="false" ht="15" hidden="false" customHeight="true" outlineLevel="0" collapsed="false">
      <c r="A749" s="12" t="str">
        <f aca="false">IF(Cassette!A154="","",TRIM(Cassette!A154))</f>
        <v/>
      </c>
      <c r="B749" s="12" t="str">
        <f aca="false">IF(A749="","",IF(COUNTIF(A$2:A749,A749)=1,MAX(B$1:B748)+1,""))</f>
        <v/>
      </c>
      <c r="D749" s="12"/>
    </row>
    <row r="750" customFormat="false" ht="15" hidden="false" customHeight="true" outlineLevel="0" collapsed="false">
      <c r="A750" s="12" t="str">
        <f aca="false">IF(Cassette!A155="","",TRIM(Cassette!A155))</f>
        <v/>
      </c>
      <c r="B750" s="12" t="str">
        <f aca="false">IF(A750="","",IF(COUNTIF(A$2:A750,A750)=1,MAX(B$1:B749)+1,""))</f>
        <v/>
      </c>
      <c r="D750" s="12"/>
    </row>
    <row r="751" customFormat="false" ht="15" hidden="false" customHeight="true" outlineLevel="0" collapsed="false">
      <c r="A751" s="12" t="str">
        <f aca="false">IF(Cassette!A156="","",TRIM(Cassette!A156))</f>
        <v/>
      </c>
      <c r="B751" s="12" t="str">
        <f aca="false">IF(A751="","",IF(COUNTIF(A$2:A751,A751)=1,MAX(B$1:B750)+1,""))</f>
        <v/>
      </c>
      <c r="D751" s="12"/>
    </row>
    <row r="752" customFormat="false" ht="15" hidden="false" customHeight="true" outlineLevel="0" collapsed="false">
      <c r="A752" s="12" t="str">
        <f aca="false">IF(Cassette!A157="","",TRIM(Cassette!A157))</f>
        <v/>
      </c>
      <c r="B752" s="12" t="str">
        <f aca="false">IF(A752="","",IF(COUNTIF(A$2:A752,A752)=1,MAX(B$1:B751)+1,""))</f>
        <v/>
      </c>
      <c r="D752" s="12"/>
    </row>
    <row r="753" customFormat="false" ht="15" hidden="false" customHeight="true" outlineLevel="0" collapsed="false">
      <c r="A753" s="12" t="str">
        <f aca="false">IF(Cassette!A158="","",TRIM(Cassette!A158))</f>
        <v/>
      </c>
      <c r="B753" s="12" t="str">
        <f aca="false">IF(A753="","",IF(COUNTIF(A$2:A753,A753)=1,MAX(B$1:B752)+1,""))</f>
        <v/>
      </c>
      <c r="D753" s="12"/>
    </row>
    <row r="754" customFormat="false" ht="15" hidden="false" customHeight="true" outlineLevel="0" collapsed="false">
      <c r="A754" s="12" t="str">
        <f aca="false">IF(Cassette!A159="","",TRIM(Cassette!A159))</f>
        <v/>
      </c>
      <c r="B754" s="12" t="str">
        <f aca="false">IF(A754="","",IF(COUNTIF(A$2:A754,A754)=1,MAX(B$1:B753)+1,""))</f>
        <v/>
      </c>
      <c r="D754" s="12"/>
    </row>
    <row r="755" customFormat="false" ht="15" hidden="false" customHeight="true" outlineLevel="0" collapsed="false">
      <c r="A755" s="12" t="str">
        <f aca="false">IF(Cassette!A160="","",TRIM(Cassette!A160))</f>
        <v/>
      </c>
      <c r="B755" s="12" t="str">
        <f aca="false">IF(A755="","",IF(COUNTIF(A$2:A755,A755)=1,MAX(B$1:B754)+1,""))</f>
        <v/>
      </c>
      <c r="D755" s="12"/>
    </row>
    <row r="756" customFormat="false" ht="15" hidden="false" customHeight="true" outlineLevel="0" collapsed="false">
      <c r="A756" s="12" t="str">
        <f aca="false">IF(Cassette!A161="","",TRIM(Cassette!A161))</f>
        <v/>
      </c>
      <c r="B756" s="12" t="str">
        <f aca="false">IF(A756="","",IF(COUNTIF(A$2:A756,A756)=1,MAX(B$1:B755)+1,""))</f>
        <v/>
      </c>
      <c r="D756" s="12"/>
    </row>
    <row r="757" customFormat="false" ht="15" hidden="false" customHeight="true" outlineLevel="0" collapsed="false">
      <c r="A757" s="12" t="str">
        <f aca="false">IF(Cassette!A162="","",TRIM(Cassette!A162))</f>
        <v/>
      </c>
      <c r="B757" s="12" t="str">
        <f aca="false">IF(A757="","",IF(COUNTIF(A$2:A757,A757)=1,MAX(B$1:B756)+1,""))</f>
        <v/>
      </c>
      <c r="D757" s="12"/>
    </row>
    <row r="758" customFormat="false" ht="15" hidden="false" customHeight="true" outlineLevel="0" collapsed="false">
      <c r="A758" s="12" t="str">
        <f aca="false">IF(Cassette!A163="","",TRIM(Cassette!A163))</f>
        <v/>
      </c>
      <c r="B758" s="12" t="str">
        <f aca="false">IF(A758="","",IF(COUNTIF(A$2:A758,A758)=1,MAX(B$1:B757)+1,""))</f>
        <v/>
      </c>
      <c r="D758" s="12"/>
    </row>
    <row r="759" customFormat="false" ht="15" hidden="false" customHeight="true" outlineLevel="0" collapsed="false">
      <c r="A759" s="12" t="str">
        <f aca="false">IF(Cassette!A164="","",TRIM(Cassette!A164))</f>
        <v/>
      </c>
      <c r="B759" s="12" t="str">
        <f aca="false">IF(A759="","",IF(COUNTIF(A$2:A759,A759)=1,MAX(B$1:B758)+1,""))</f>
        <v/>
      </c>
      <c r="D759" s="12"/>
    </row>
    <row r="760" customFormat="false" ht="15" hidden="false" customHeight="true" outlineLevel="0" collapsed="false">
      <c r="A760" s="12" t="str">
        <f aca="false">IF(Cassette!A165="","",TRIM(Cassette!A165))</f>
        <v/>
      </c>
      <c r="B760" s="12" t="str">
        <f aca="false">IF(A760="","",IF(COUNTIF(A$2:A760,A760)=1,MAX(B$1:B759)+1,""))</f>
        <v/>
      </c>
      <c r="D760" s="12"/>
    </row>
    <row r="761" customFormat="false" ht="15" hidden="false" customHeight="true" outlineLevel="0" collapsed="false">
      <c r="A761" s="12" t="str">
        <f aca="false">IF(Cassette!A166="","",TRIM(Cassette!A166))</f>
        <v/>
      </c>
      <c r="B761" s="12" t="str">
        <f aca="false">IF(A761="","",IF(COUNTIF(A$2:A761,A761)=1,MAX(B$1:B760)+1,""))</f>
        <v/>
      </c>
      <c r="D761" s="12"/>
    </row>
    <row r="762" customFormat="false" ht="15" hidden="false" customHeight="true" outlineLevel="0" collapsed="false">
      <c r="A762" s="12" t="str">
        <f aca="false">IF(Cassette!A167="","",TRIM(Cassette!A167))</f>
        <v/>
      </c>
      <c r="B762" s="12" t="str">
        <f aca="false">IF(A762="","",IF(COUNTIF(A$2:A762,A762)=1,MAX(B$1:B761)+1,""))</f>
        <v/>
      </c>
      <c r="D762" s="12"/>
    </row>
    <row r="763" customFormat="false" ht="15" hidden="false" customHeight="true" outlineLevel="0" collapsed="false">
      <c r="A763" s="12" t="str">
        <f aca="false">IF(Cassette!A168="","",TRIM(Cassette!A168))</f>
        <v/>
      </c>
      <c r="B763" s="12" t="str">
        <f aca="false">IF(A763="","",IF(COUNTIF(A$2:A763,A763)=1,MAX(B$1:B762)+1,""))</f>
        <v/>
      </c>
      <c r="D763" s="12"/>
    </row>
    <row r="764" customFormat="false" ht="15" hidden="false" customHeight="true" outlineLevel="0" collapsed="false">
      <c r="A764" s="12" t="str">
        <f aca="false">IF(Cassette!A169="","",TRIM(Cassette!A169))</f>
        <v/>
      </c>
      <c r="B764" s="12" t="str">
        <f aca="false">IF(A764="","",IF(COUNTIF(A$2:A764,A764)=1,MAX(B$1:B763)+1,""))</f>
        <v/>
      </c>
      <c r="D764" s="12"/>
    </row>
    <row r="765" customFormat="false" ht="15" hidden="false" customHeight="true" outlineLevel="0" collapsed="false">
      <c r="A765" s="12" t="str">
        <f aca="false">IF(Cassette!A170="","",TRIM(Cassette!A170))</f>
        <v/>
      </c>
      <c r="B765" s="12" t="str">
        <f aca="false">IF(A765="","",IF(COUNTIF(A$2:A765,A765)=1,MAX(B$1:B764)+1,""))</f>
        <v/>
      </c>
      <c r="D765" s="12"/>
    </row>
    <row r="766" customFormat="false" ht="15" hidden="false" customHeight="true" outlineLevel="0" collapsed="false">
      <c r="A766" s="12" t="str">
        <f aca="false">IF(Cassette!A171="","",TRIM(Cassette!A171))</f>
        <v/>
      </c>
      <c r="B766" s="12" t="str">
        <f aca="false">IF(A766="","",IF(COUNTIF(A$2:A766,A766)=1,MAX(B$1:B765)+1,""))</f>
        <v/>
      </c>
      <c r="D766" s="12"/>
    </row>
    <row r="767" customFormat="false" ht="15" hidden="false" customHeight="true" outlineLevel="0" collapsed="false">
      <c r="A767" s="12" t="str">
        <f aca="false">IF(Cassette!A172="","",TRIM(Cassette!A172))</f>
        <v/>
      </c>
      <c r="B767" s="12" t="str">
        <f aca="false">IF(A767="","",IF(COUNTIF(A$2:A767,A767)=1,MAX(B$1:B766)+1,""))</f>
        <v/>
      </c>
      <c r="D767" s="12"/>
    </row>
    <row r="768" customFormat="false" ht="15" hidden="false" customHeight="true" outlineLevel="0" collapsed="false">
      <c r="A768" s="12" t="str">
        <f aca="false">IF(Cassette!A173="","",TRIM(Cassette!A173))</f>
        <v/>
      </c>
      <c r="B768" s="12" t="str">
        <f aca="false">IF(A768="","",IF(COUNTIF(A$2:A768,A768)=1,MAX(B$1:B767)+1,""))</f>
        <v/>
      </c>
      <c r="D768" s="12"/>
    </row>
    <row r="769" customFormat="false" ht="15" hidden="false" customHeight="true" outlineLevel="0" collapsed="false">
      <c r="A769" s="12" t="str">
        <f aca="false">IF(Cassette!A174="","",TRIM(Cassette!A174))</f>
        <v/>
      </c>
      <c r="B769" s="12" t="str">
        <f aca="false">IF(A769="","",IF(COUNTIF(A$2:A769,A769)=1,MAX(B$1:B768)+1,""))</f>
        <v/>
      </c>
      <c r="D769" s="12"/>
    </row>
    <row r="770" customFormat="false" ht="15" hidden="false" customHeight="true" outlineLevel="0" collapsed="false">
      <c r="A770" s="12" t="str">
        <f aca="false">IF(Cassette!A175="","",TRIM(Cassette!A175))</f>
        <v/>
      </c>
      <c r="B770" s="12" t="str">
        <f aca="false">IF(A770="","",IF(COUNTIF(A$2:A770,A770)=1,MAX(B$1:B769)+1,""))</f>
        <v/>
      </c>
      <c r="D770" s="12"/>
    </row>
    <row r="771" customFormat="false" ht="15" hidden="false" customHeight="true" outlineLevel="0" collapsed="false">
      <c r="A771" s="12" t="str">
        <f aca="false">IF(Cassette!A176="","",TRIM(Cassette!A176))</f>
        <v/>
      </c>
      <c r="B771" s="12" t="str">
        <f aca="false">IF(A771="","",IF(COUNTIF(A$2:A771,A771)=1,MAX(B$1:B770)+1,""))</f>
        <v/>
      </c>
      <c r="D771" s="12"/>
    </row>
    <row r="772" customFormat="false" ht="15" hidden="false" customHeight="true" outlineLevel="0" collapsed="false">
      <c r="A772" s="12" t="str">
        <f aca="false">IF(Cassette!A177="","",TRIM(Cassette!A177))</f>
        <v/>
      </c>
      <c r="B772" s="12" t="str">
        <f aca="false">IF(A772="","",IF(COUNTIF(A$2:A772,A772)=1,MAX(B$1:B771)+1,""))</f>
        <v/>
      </c>
      <c r="D772" s="12"/>
    </row>
    <row r="773" customFormat="false" ht="15" hidden="false" customHeight="true" outlineLevel="0" collapsed="false">
      <c r="A773" s="12" t="str">
        <f aca="false">IF(Cassette!A178="","",TRIM(Cassette!A178))</f>
        <v/>
      </c>
      <c r="B773" s="12" t="str">
        <f aca="false">IF(A773="","",IF(COUNTIF(A$2:A773,A773)=1,MAX(B$1:B772)+1,""))</f>
        <v/>
      </c>
      <c r="D773" s="12"/>
    </row>
    <row r="774" customFormat="false" ht="15" hidden="false" customHeight="true" outlineLevel="0" collapsed="false">
      <c r="A774" s="12" t="str">
        <f aca="false">IF(Cassette!A179="","",TRIM(Cassette!A179))</f>
        <v/>
      </c>
      <c r="B774" s="12" t="str">
        <f aca="false">IF(A774="","",IF(COUNTIF(A$2:A774,A774)=1,MAX(B$1:B773)+1,""))</f>
        <v/>
      </c>
      <c r="D774" s="12"/>
    </row>
    <row r="775" customFormat="false" ht="15" hidden="false" customHeight="true" outlineLevel="0" collapsed="false">
      <c r="A775" s="12" t="str">
        <f aca="false">IF(Cassette!A180="","",TRIM(Cassette!A180))</f>
        <v/>
      </c>
      <c r="B775" s="12" t="str">
        <f aca="false">IF(A775="","",IF(COUNTIF(A$2:A775,A775)=1,MAX(B$1:B774)+1,""))</f>
        <v/>
      </c>
      <c r="D775" s="12"/>
    </row>
    <row r="776" customFormat="false" ht="15" hidden="false" customHeight="true" outlineLevel="0" collapsed="false">
      <c r="A776" s="12" t="str">
        <f aca="false">IF(Cassette!A181="","",TRIM(Cassette!A181))</f>
        <v/>
      </c>
      <c r="B776" s="12" t="str">
        <f aca="false">IF(A776="","",IF(COUNTIF(A$2:A776,A776)=1,MAX(B$1:B775)+1,""))</f>
        <v/>
      </c>
      <c r="D776" s="12"/>
    </row>
    <row r="777" customFormat="false" ht="15" hidden="false" customHeight="true" outlineLevel="0" collapsed="false">
      <c r="A777" s="12" t="str">
        <f aca="false">IF(Cassette!A182="","",TRIM(Cassette!A182))</f>
        <v/>
      </c>
      <c r="B777" s="12" t="str">
        <f aca="false">IF(A777="","",IF(COUNTIF(A$2:A777,A777)=1,MAX(B$1:B776)+1,""))</f>
        <v/>
      </c>
      <c r="D777" s="12"/>
    </row>
    <row r="778" customFormat="false" ht="15" hidden="false" customHeight="true" outlineLevel="0" collapsed="false">
      <c r="A778" s="12" t="str">
        <f aca="false">IF(Cassette!A183="","",TRIM(Cassette!A183))</f>
        <v/>
      </c>
      <c r="B778" s="12" t="str">
        <f aca="false">IF(A778="","",IF(COUNTIF(A$2:A778,A778)=1,MAX(B$1:B777)+1,""))</f>
        <v/>
      </c>
      <c r="D778" s="12"/>
    </row>
    <row r="779" customFormat="false" ht="15" hidden="false" customHeight="true" outlineLevel="0" collapsed="false">
      <c r="A779" s="12" t="str">
        <f aca="false">IF(Cassette!A184="","",TRIM(Cassette!A184))</f>
        <v/>
      </c>
      <c r="B779" s="12" t="str">
        <f aca="false">IF(A779="","",IF(COUNTIF(A$2:A779,A779)=1,MAX(B$1:B778)+1,""))</f>
        <v/>
      </c>
      <c r="D779" s="12"/>
    </row>
    <row r="780" customFormat="false" ht="15" hidden="false" customHeight="true" outlineLevel="0" collapsed="false">
      <c r="A780" s="12" t="str">
        <f aca="false">IF(Cassette!A185="","",TRIM(Cassette!A185))</f>
        <v/>
      </c>
      <c r="B780" s="12" t="str">
        <f aca="false">IF(A780="","",IF(COUNTIF(A$2:A780,A780)=1,MAX(B$1:B779)+1,""))</f>
        <v/>
      </c>
      <c r="D780" s="12"/>
    </row>
    <row r="781" customFormat="false" ht="15" hidden="false" customHeight="true" outlineLevel="0" collapsed="false">
      <c r="A781" s="12" t="str">
        <f aca="false">IF(Cassette!A186="","",TRIM(Cassette!A186))</f>
        <v/>
      </c>
      <c r="B781" s="12" t="str">
        <f aca="false">IF(A781="","",IF(COUNTIF(A$2:A781,A781)=1,MAX(B$1:B780)+1,""))</f>
        <v/>
      </c>
      <c r="D781" s="12"/>
    </row>
    <row r="782" customFormat="false" ht="15" hidden="false" customHeight="true" outlineLevel="0" collapsed="false">
      <c r="A782" s="12" t="str">
        <f aca="false">IF(Cassette!A187="","",TRIM(Cassette!A187))</f>
        <v/>
      </c>
      <c r="B782" s="12" t="str">
        <f aca="false">IF(A782="","",IF(COUNTIF(A$2:A782,A782)=1,MAX(B$1:B781)+1,""))</f>
        <v/>
      </c>
      <c r="D782" s="12"/>
    </row>
    <row r="783" customFormat="false" ht="15" hidden="false" customHeight="true" outlineLevel="0" collapsed="false">
      <c r="A783" s="12" t="str">
        <f aca="false">IF(Cassette!A188="","",TRIM(Cassette!A188))</f>
        <v/>
      </c>
      <c r="B783" s="12" t="str">
        <f aca="false">IF(A783="","",IF(COUNTIF(A$2:A783,A783)=1,MAX(B$1:B782)+1,""))</f>
        <v/>
      </c>
      <c r="D783" s="12"/>
    </row>
    <row r="784" customFormat="false" ht="15" hidden="false" customHeight="true" outlineLevel="0" collapsed="false">
      <c r="A784" s="12" t="str">
        <f aca="false">IF(Cassette!A189="","",TRIM(Cassette!A189))</f>
        <v/>
      </c>
      <c r="B784" s="12" t="str">
        <f aca="false">IF(A784="","",IF(COUNTIF(A$2:A784,A784)=1,MAX(B$1:B783)+1,""))</f>
        <v/>
      </c>
      <c r="D784" s="12"/>
    </row>
    <row r="785" customFormat="false" ht="15" hidden="false" customHeight="true" outlineLevel="0" collapsed="false">
      <c r="A785" s="12" t="str">
        <f aca="false">IF(Cassette!A190="","",TRIM(Cassette!A190))</f>
        <v/>
      </c>
      <c r="B785" s="12" t="str">
        <f aca="false">IF(A785="","",IF(COUNTIF(A$2:A785,A785)=1,MAX(B$1:B784)+1,""))</f>
        <v/>
      </c>
      <c r="D785" s="12"/>
    </row>
    <row r="786" customFormat="false" ht="15" hidden="false" customHeight="true" outlineLevel="0" collapsed="false">
      <c r="A786" s="12" t="str">
        <f aca="false">IF(Cassette!A191="","",TRIM(Cassette!A191))</f>
        <v/>
      </c>
      <c r="B786" s="12" t="str">
        <f aca="false">IF(A786="","",IF(COUNTIF(A$2:A786,A786)=1,MAX(B$1:B785)+1,""))</f>
        <v/>
      </c>
      <c r="D786" s="12"/>
    </row>
    <row r="787" customFormat="false" ht="15" hidden="false" customHeight="true" outlineLevel="0" collapsed="false">
      <c r="A787" s="12" t="str">
        <f aca="false">IF(Cassette!A192="","",TRIM(Cassette!A192))</f>
        <v/>
      </c>
      <c r="B787" s="12" t="str">
        <f aca="false">IF(A787="","",IF(COUNTIF(A$2:A787,A787)=1,MAX(B$1:B786)+1,""))</f>
        <v/>
      </c>
      <c r="D787" s="12"/>
    </row>
    <row r="788" customFormat="false" ht="15" hidden="false" customHeight="true" outlineLevel="0" collapsed="false">
      <c r="A788" s="12" t="str">
        <f aca="false">IF(Cassette!A193="","",TRIM(Cassette!A193))</f>
        <v/>
      </c>
      <c r="B788" s="12" t="str">
        <f aca="false">IF(A788="","",IF(COUNTIF(A$2:A788,A788)=1,MAX(B$1:B787)+1,""))</f>
        <v/>
      </c>
      <c r="D788" s="12"/>
    </row>
    <row r="789" customFormat="false" ht="15" hidden="false" customHeight="true" outlineLevel="0" collapsed="false">
      <c r="A789" s="12" t="str">
        <f aca="false">IF(Cassette!A194="","",TRIM(Cassette!A194))</f>
        <v/>
      </c>
      <c r="B789" s="12" t="str">
        <f aca="false">IF(A789="","",IF(COUNTIF(A$2:A789,A789)=1,MAX(B$1:B788)+1,""))</f>
        <v/>
      </c>
      <c r="D789" s="12"/>
    </row>
    <row r="790" customFormat="false" ht="15" hidden="false" customHeight="true" outlineLevel="0" collapsed="false">
      <c r="A790" s="12" t="str">
        <f aca="false">IF(Cassette!A195="","",TRIM(Cassette!A195))</f>
        <v/>
      </c>
      <c r="B790" s="12" t="str">
        <f aca="false">IF(A790="","",IF(COUNTIF(A$2:A790,A790)=1,MAX(B$1:B789)+1,""))</f>
        <v/>
      </c>
      <c r="D790" s="12"/>
    </row>
    <row r="791" customFormat="false" ht="15" hidden="false" customHeight="true" outlineLevel="0" collapsed="false">
      <c r="A791" s="12" t="str">
        <f aca="false">IF(Cassette!A196="","",TRIM(Cassette!A196))</f>
        <v/>
      </c>
      <c r="B791" s="12" t="str">
        <f aca="false">IF(A791="","",IF(COUNTIF(A$2:A791,A791)=1,MAX(B$1:B790)+1,""))</f>
        <v/>
      </c>
      <c r="D791" s="12"/>
    </row>
    <row r="792" customFormat="false" ht="15" hidden="false" customHeight="true" outlineLevel="0" collapsed="false">
      <c r="A792" s="12" t="str">
        <f aca="false">IF(Cassette!A197="","",TRIM(Cassette!A197))</f>
        <v/>
      </c>
      <c r="B792" s="12" t="str">
        <f aca="false">IF(A792="","",IF(COUNTIF(A$2:A792,A792)=1,MAX(B$1:B791)+1,""))</f>
        <v/>
      </c>
      <c r="D792" s="12"/>
    </row>
    <row r="793" customFormat="false" ht="15" hidden="false" customHeight="true" outlineLevel="0" collapsed="false">
      <c r="A793" s="12" t="str">
        <f aca="false">IF(Cassette!A198="","",TRIM(Cassette!A198))</f>
        <v/>
      </c>
      <c r="B793" s="12" t="str">
        <f aca="false">IF(A793="","",IF(COUNTIF(A$2:A793,A793)=1,MAX(B$1:B792)+1,""))</f>
        <v/>
      </c>
      <c r="D793" s="12"/>
    </row>
    <row r="794" customFormat="false" ht="15" hidden="false" customHeight="true" outlineLevel="0" collapsed="false">
      <c r="A794" s="12" t="str">
        <f aca="false">IF(Cassette!A199="","",TRIM(Cassette!A199))</f>
        <v/>
      </c>
      <c r="B794" s="12" t="str">
        <f aca="false">IF(A794="","",IF(COUNTIF(A$2:A794,A794)=1,MAX(B$1:B793)+1,""))</f>
        <v/>
      </c>
      <c r="D794" s="12"/>
    </row>
    <row r="795" customFormat="false" ht="15" hidden="false" customHeight="true" outlineLevel="0" collapsed="false">
      <c r="A795" s="12" t="str">
        <f aca="false">IF(Cassette!A200="","",TRIM(Cassette!A200))</f>
        <v/>
      </c>
      <c r="B795" s="12" t="str">
        <f aca="false">IF(A795="","",IF(COUNTIF(A$2:A795,A795)=1,MAX(B$1:B794)+1,""))</f>
        <v/>
      </c>
      <c r="D795" s="12"/>
    </row>
    <row r="796" customFormat="false" ht="15" hidden="false" customHeight="true" outlineLevel="0" collapsed="false">
      <c r="A796" s="12" t="str">
        <f aca="false">IF(Cassette!A201="","",TRIM(Cassette!A201))</f>
        <v/>
      </c>
      <c r="B796" s="12" t="str">
        <f aca="false">IF(A796="","",IF(COUNTIF(A$2:A796,A796)=1,MAX(B$1:B795)+1,""))</f>
        <v/>
      </c>
      <c r="D796" s="12"/>
    </row>
    <row r="797" customFormat="false" ht="15" hidden="false" customHeight="true" outlineLevel="0" collapsed="false">
      <c r="A797" s="12" t="str">
        <f aca="false">IF(Cassette!A202="","",TRIM(Cassette!A202))</f>
        <v/>
      </c>
      <c r="B797" s="12" t="str">
        <f aca="false">IF(A797="","",IF(COUNTIF(A$2:A797,A797)=1,MAX(B$1:B796)+1,""))</f>
        <v/>
      </c>
      <c r="D797" s="12"/>
    </row>
    <row r="798" customFormat="false" ht="15" hidden="false" customHeight="true" outlineLevel="0" collapsed="false">
      <c r="A798" s="12" t="str">
        <f aca="false">IF(Cassette!A203="","",TRIM(Cassette!A203))</f>
        <v/>
      </c>
      <c r="B798" s="12" t="str">
        <f aca="false">IF(A798="","",IF(COUNTIF(A$2:A798,A798)=1,MAX(B$1:B797)+1,""))</f>
        <v/>
      </c>
      <c r="D798" s="12"/>
    </row>
    <row r="799" customFormat="false" ht="15" hidden="false" customHeight="true" outlineLevel="0" collapsed="false">
      <c r="A799" s="12" t="str">
        <f aca="false">IF(Cassette!A204="","",TRIM(Cassette!A204))</f>
        <v/>
      </c>
      <c r="B799" s="12" t="str">
        <f aca="false">IF(A799="","",IF(COUNTIF(A$2:A799,A799)=1,MAX(B$1:B798)+1,""))</f>
        <v/>
      </c>
      <c r="D799" s="12"/>
    </row>
    <row r="800" customFormat="false" ht="15" hidden="false" customHeight="true" outlineLevel="0" collapsed="false">
      <c r="A800" s="12" t="str">
        <f aca="false">IF(Cassette!A205="","",TRIM(Cassette!A205))</f>
        <v/>
      </c>
      <c r="B800" s="12" t="str">
        <f aca="false">IF(A800="","",IF(COUNTIF(A$2:A800,A800)=1,MAX(B$1:B799)+1,""))</f>
        <v/>
      </c>
      <c r="D800" s="12"/>
    </row>
    <row r="801" customFormat="false" ht="15" hidden="false" customHeight="true" outlineLevel="0" collapsed="false">
      <c r="A801" s="12" t="str">
        <f aca="false">IF(Cassette!A206="","",TRIM(Cassette!A206))</f>
        <v/>
      </c>
      <c r="B801" s="12" t="str">
        <f aca="false">IF(A801="","",IF(COUNTIF(A$2:A801,A801)=1,MAX(B$1:B800)+1,""))</f>
        <v/>
      </c>
      <c r="D801" s="12"/>
    </row>
    <row r="802" customFormat="false" ht="15" hidden="false" customHeight="true" outlineLevel="0" collapsed="false">
      <c r="A802" s="12" t="str">
        <f aca="false">IF(Cassette!A207="","",TRIM(Cassette!A207))</f>
        <v/>
      </c>
      <c r="B802" s="12" t="str">
        <f aca="false">IF(A802="","",IF(COUNTIF(A$2:A802,A802)=1,MAX(B$1:B801)+1,""))</f>
        <v/>
      </c>
      <c r="D802" s="12"/>
    </row>
    <row r="803" customFormat="false" ht="15" hidden="false" customHeight="true" outlineLevel="0" collapsed="false">
      <c r="A803" s="12" t="str">
        <f aca="false">IF(Cassette!A208="","",TRIM(Cassette!A208))</f>
        <v/>
      </c>
      <c r="B803" s="12" t="str">
        <f aca="false">IF(A803="","",IF(COUNTIF(A$2:A803,A803)=1,MAX(B$1:B802)+1,""))</f>
        <v/>
      </c>
      <c r="D803" s="12"/>
    </row>
    <row r="804" customFormat="false" ht="15" hidden="false" customHeight="true" outlineLevel="0" collapsed="false">
      <c r="A804" s="12" t="str">
        <f aca="false">IF(Cassette!A209="","",TRIM(Cassette!A209))</f>
        <v/>
      </c>
      <c r="B804" s="12" t="str">
        <f aca="false">IF(A804="","",IF(COUNTIF(A$2:A804,A804)=1,MAX(B$1:B803)+1,""))</f>
        <v/>
      </c>
      <c r="D804" s="12"/>
    </row>
    <row r="805" customFormat="false" ht="15" hidden="false" customHeight="true" outlineLevel="0" collapsed="false">
      <c r="A805" s="12" t="str">
        <f aca="false">IF(Cassette!A210="","",TRIM(Cassette!A210))</f>
        <v/>
      </c>
      <c r="B805" s="12" t="str">
        <f aca="false">IF(A805="","",IF(COUNTIF(A$2:A805,A805)=1,MAX(B$1:B804)+1,""))</f>
        <v/>
      </c>
      <c r="D805" s="12"/>
    </row>
    <row r="806" customFormat="false" ht="15" hidden="false" customHeight="true" outlineLevel="0" collapsed="false">
      <c r="A806" s="12" t="str">
        <f aca="false">IF(Cassette!A211="","",TRIM(Cassette!A211))</f>
        <v/>
      </c>
      <c r="B806" s="12" t="str">
        <f aca="false">IF(A806="","",IF(COUNTIF(A$2:A806,A806)=1,MAX(B$1:B805)+1,""))</f>
        <v/>
      </c>
      <c r="D806" s="12"/>
    </row>
    <row r="807" customFormat="false" ht="15" hidden="false" customHeight="true" outlineLevel="0" collapsed="false">
      <c r="A807" s="12" t="str">
        <f aca="false">IF(Cassette!A212="","",TRIM(Cassette!A212))</f>
        <v/>
      </c>
      <c r="B807" s="12" t="str">
        <f aca="false">IF(A807="","",IF(COUNTIF(A$2:A807,A807)=1,MAX(B$1:B806)+1,""))</f>
        <v/>
      </c>
      <c r="D807" s="12"/>
    </row>
    <row r="808" customFormat="false" ht="15" hidden="false" customHeight="true" outlineLevel="0" collapsed="false">
      <c r="A808" s="12" t="str">
        <f aca="false">IF(Cassette!A213="","",TRIM(Cassette!A213))</f>
        <v/>
      </c>
      <c r="B808" s="12" t="str">
        <f aca="false">IF(A808="","",IF(COUNTIF(A$2:A808,A808)=1,MAX(B$1:B807)+1,""))</f>
        <v/>
      </c>
      <c r="D808" s="12"/>
    </row>
    <row r="809" customFormat="false" ht="15" hidden="false" customHeight="true" outlineLevel="0" collapsed="false">
      <c r="A809" s="12" t="str">
        <f aca="false">IF(Cassette!A214="","",TRIM(Cassette!A214))</f>
        <v/>
      </c>
      <c r="B809" s="12" t="str">
        <f aca="false">IF(A809="","",IF(COUNTIF(A$2:A809,A809)=1,MAX(B$1:B808)+1,""))</f>
        <v/>
      </c>
      <c r="D809" s="12"/>
    </row>
    <row r="810" customFormat="false" ht="15" hidden="false" customHeight="true" outlineLevel="0" collapsed="false">
      <c r="A810" s="12" t="str">
        <f aca="false">IF(Cassette!A215="","",TRIM(Cassette!A215))</f>
        <v/>
      </c>
      <c r="B810" s="12" t="str">
        <f aca="false">IF(A810="","",IF(COUNTIF(A$2:A810,A810)=1,MAX(B$1:B809)+1,""))</f>
        <v/>
      </c>
      <c r="D810" s="12"/>
    </row>
    <row r="811" customFormat="false" ht="15" hidden="false" customHeight="true" outlineLevel="0" collapsed="false">
      <c r="A811" s="12" t="str">
        <f aca="false">IF(Cassette!A216="","",TRIM(Cassette!A216))</f>
        <v/>
      </c>
      <c r="B811" s="12" t="str">
        <f aca="false">IF(A811="","",IF(COUNTIF(A$2:A811,A811)=1,MAX(B$1:B810)+1,""))</f>
        <v/>
      </c>
      <c r="D811" s="12"/>
    </row>
    <row r="812" customFormat="false" ht="15" hidden="false" customHeight="true" outlineLevel="0" collapsed="false">
      <c r="A812" s="12" t="str">
        <f aca="false">IF(Cassette!A217="","",TRIM(Cassette!A217))</f>
        <v/>
      </c>
      <c r="B812" s="12" t="str">
        <f aca="false">IF(A812="","",IF(COUNTIF(A$2:A812,A812)=1,MAX(B$1:B811)+1,""))</f>
        <v/>
      </c>
      <c r="D812" s="12"/>
    </row>
    <row r="813" customFormat="false" ht="15" hidden="false" customHeight="true" outlineLevel="0" collapsed="false">
      <c r="A813" s="12" t="str">
        <f aca="false">IF(Cassette!A218="","",TRIM(Cassette!A218))</f>
        <v/>
      </c>
      <c r="B813" s="12" t="str">
        <f aca="false">IF(A813="","",IF(COUNTIF(A$2:A813,A813)=1,MAX(B$1:B812)+1,""))</f>
        <v/>
      </c>
      <c r="D813" s="12"/>
    </row>
    <row r="814" customFormat="false" ht="15" hidden="false" customHeight="true" outlineLevel="0" collapsed="false">
      <c r="A814" s="12" t="str">
        <f aca="false">IF(Cassette!A219="","",TRIM(Cassette!A219))</f>
        <v/>
      </c>
      <c r="B814" s="12" t="str">
        <f aca="false">IF(A814="","",IF(COUNTIF(A$2:A814,A814)=1,MAX(B$1:B813)+1,""))</f>
        <v/>
      </c>
      <c r="D814" s="12"/>
    </row>
    <row r="815" customFormat="false" ht="15" hidden="false" customHeight="true" outlineLevel="0" collapsed="false">
      <c r="A815" s="12" t="str">
        <f aca="false">IF(Cassette!A220="","",TRIM(Cassette!A220))</f>
        <v/>
      </c>
      <c r="B815" s="12" t="str">
        <f aca="false">IF(A815="","",IF(COUNTIF(A$2:A815,A815)=1,MAX(B$1:B814)+1,""))</f>
        <v/>
      </c>
      <c r="D815" s="12"/>
    </row>
    <row r="816" customFormat="false" ht="15" hidden="false" customHeight="true" outlineLevel="0" collapsed="false">
      <c r="A816" s="12" t="str">
        <f aca="false">IF(Cassette!A221="","",TRIM(Cassette!A221))</f>
        <v/>
      </c>
      <c r="B816" s="12" t="str">
        <f aca="false">IF(A816="","",IF(COUNTIF(A$2:A816,A816)=1,MAX(B$1:B815)+1,""))</f>
        <v/>
      </c>
      <c r="D816" s="12"/>
    </row>
    <row r="817" customFormat="false" ht="15" hidden="false" customHeight="true" outlineLevel="0" collapsed="false">
      <c r="A817" s="12" t="str">
        <f aca="false">IF(Cassette!A222="","",TRIM(Cassette!A222))</f>
        <v/>
      </c>
      <c r="B817" s="12" t="str">
        <f aca="false">IF(A817="","",IF(COUNTIF(A$2:A817,A817)=1,MAX(B$1:B816)+1,""))</f>
        <v/>
      </c>
      <c r="D817" s="12"/>
    </row>
    <row r="818" customFormat="false" ht="15" hidden="false" customHeight="true" outlineLevel="0" collapsed="false">
      <c r="A818" s="12" t="str">
        <f aca="false">IF(Cassette!A223="","",TRIM(Cassette!A223))</f>
        <v/>
      </c>
      <c r="B818" s="12" t="str">
        <f aca="false">IF(A818="","",IF(COUNTIF(A$2:A818,A818)=1,MAX(B$1:B817)+1,""))</f>
        <v/>
      </c>
      <c r="D818" s="12"/>
    </row>
    <row r="819" customFormat="false" ht="15" hidden="false" customHeight="true" outlineLevel="0" collapsed="false">
      <c r="A819" s="12" t="str">
        <f aca="false">IF(Cassette!A224="","",TRIM(Cassette!A224))</f>
        <v/>
      </c>
      <c r="B819" s="12" t="str">
        <f aca="false">IF(A819="","",IF(COUNTIF(A$2:A819,A819)=1,MAX(B$1:B818)+1,""))</f>
        <v/>
      </c>
      <c r="D819" s="12"/>
    </row>
    <row r="820" customFormat="false" ht="15" hidden="false" customHeight="true" outlineLevel="0" collapsed="false">
      <c r="A820" s="12" t="str">
        <f aca="false">IF(Cassette!A225="","",TRIM(Cassette!A225))</f>
        <v/>
      </c>
      <c r="B820" s="12" t="str">
        <f aca="false">IF(A820="","",IF(COUNTIF(A$2:A820,A820)=1,MAX(B$1:B819)+1,""))</f>
        <v/>
      </c>
      <c r="D820" s="12"/>
    </row>
    <row r="821" customFormat="false" ht="15" hidden="false" customHeight="true" outlineLevel="0" collapsed="false">
      <c r="A821" s="12" t="str">
        <f aca="false">IF(Cassette!A226="","",TRIM(Cassette!A226))</f>
        <v/>
      </c>
      <c r="B821" s="12" t="str">
        <f aca="false">IF(A821="","",IF(COUNTIF(A$2:A821,A821)=1,MAX(B$1:B820)+1,""))</f>
        <v/>
      </c>
      <c r="D821" s="12"/>
    </row>
    <row r="822" customFormat="false" ht="15" hidden="false" customHeight="true" outlineLevel="0" collapsed="false">
      <c r="A822" s="12" t="str">
        <f aca="false">IF(Cassette!A227="","",TRIM(Cassette!A227))</f>
        <v/>
      </c>
      <c r="B822" s="12" t="str">
        <f aca="false">IF(A822="","",IF(COUNTIF(A$2:A822,A822)=1,MAX(B$1:B821)+1,""))</f>
        <v/>
      </c>
      <c r="D822" s="12"/>
    </row>
    <row r="823" customFormat="false" ht="15" hidden="false" customHeight="true" outlineLevel="0" collapsed="false">
      <c r="A823" s="12" t="str">
        <f aca="false">IF(Cassette!A228="","",TRIM(Cassette!A228))</f>
        <v/>
      </c>
      <c r="B823" s="12" t="str">
        <f aca="false">IF(A823="","",IF(COUNTIF(A$2:A823,A823)=1,MAX(B$1:B822)+1,""))</f>
        <v/>
      </c>
      <c r="D823" s="12"/>
    </row>
    <row r="824" customFormat="false" ht="15" hidden="false" customHeight="true" outlineLevel="0" collapsed="false">
      <c r="A824" s="12" t="str">
        <f aca="false">IF(Cassette!A229="","",TRIM(Cassette!A229))</f>
        <v/>
      </c>
      <c r="B824" s="12" t="str">
        <f aca="false">IF(A824="","",IF(COUNTIF(A$2:A824,A824)=1,MAX(B$1:B823)+1,""))</f>
        <v/>
      </c>
      <c r="D824" s="12"/>
    </row>
    <row r="825" customFormat="false" ht="15" hidden="false" customHeight="true" outlineLevel="0" collapsed="false">
      <c r="A825" s="12" t="str">
        <f aca="false">IF(Cassette!A230="","",TRIM(Cassette!A230))</f>
        <v/>
      </c>
      <c r="B825" s="12" t="str">
        <f aca="false">IF(A825="","",IF(COUNTIF(A$2:A825,A825)=1,MAX(B$1:B824)+1,""))</f>
        <v/>
      </c>
      <c r="D825" s="12"/>
    </row>
    <row r="826" customFormat="false" ht="15" hidden="false" customHeight="true" outlineLevel="0" collapsed="false">
      <c r="A826" s="12" t="str">
        <f aca="false">IF(Cassette!A231="","",TRIM(Cassette!A231))</f>
        <v/>
      </c>
      <c r="B826" s="12" t="str">
        <f aca="false">IF(A826="","",IF(COUNTIF(A$2:A826,A826)=1,MAX(B$1:B825)+1,""))</f>
        <v/>
      </c>
      <c r="D826" s="12"/>
    </row>
    <row r="827" customFormat="false" ht="15" hidden="false" customHeight="true" outlineLevel="0" collapsed="false">
      <c r="A827" s="12" t="str">
        <f aca="false">IF(Cassette!A232="","",TRIM(Cassette!A232))</f>
        <v/>
      </c>
      <c r="B827" s="12" t="str">
        <f aca="false">IF(A827="","",IF(COUNTIF(A$2:A827,A827)=1,MAX(B$1:B826)+1,""))</f>
        <v/>
      </c>
      <c r="D827" s="12"/>
    </row>
    <row r="828" customFormat="false" ht="15" hidden="false" customHeight="true" outlineLevel="0" collapsed="false">
      <c r="A828" s="12" t="str">
        <f aca="false">IF(Cassette!A233="","",TRIM(Cassette!A233))</f>
        <v/>
      </c>
      <c r="B828" s="12" t="str">
        <f aca="false">IF(A828="","",IF(COUNTIF(A$2:A828,A828)=1,MAX(B$1:B827)+1,""))</f>
        <v/>
      </c>
      <c r="D828" s="12"/>
    </row>
    <row r="829" customFormat="false" ht="15" hidden="false" customHeight="true" outlineLevel="0" collapsed="false">
      <c r="A829" s="12" t="str">
        <f aca="false">IF(Cassette!A234="","",TRIM(Cassette!A234))</f>
        <v/>
      </c>
      <c r="B829" s="12" t="str">
        <f aca="false">IF(A829="","",IF(COUNTIF(A$2:A829,A829)=1,MAX(B$1:B828)+1,""))</f>
        <v/>
      </c>
      <c r="D829" s="12"/>
    </row>
    <row r="830" customFormat="false" ht="15" hidden="false" customHeight="true" outlineLevel="0" collapsed="false">
      <c r="A830" s="12" t="str">
        <f aca="false">IF(Cassette!A235="","",TRIM(Cassette!A235))</f>
        <v/>
      </c>
      <c r="B830" s="12" t="str">
        <f aca="false">IF(A830="","",IF(COUNTIF(A$2:A830,A830)=1,MAX(B$1:B829)+1,""))</f>
        <v/>
      </c>
      <c r="D830" s="12"/>
    </row>
    <row r="831" customFormat="false" ht="15" hidden="false" customHeight="true" outlineLevel="0" collapsed="false">
      <c r="A831" s="12" t="str">
        <f aca="false">IF(Cassette!A236="","",TRIM(Cassette!A236))</f>
        <v/>
      </c>
      <c r="B831" s="12" t="str">
        <f aca="false">IF(A831="","",IF(COUNTIF(A$2:A831,A831)=1,MAX(B$1:B830)+1,""))</f>
        <v/>
      </c>
      <c r="D831" s="12"/>
    </row>
    <row r="832" customFormat="false" ht="15" hidden="false" customHeight="true" outlineLevel="0" collapsed="false">
      <c r="A832" s="12" t="str">
        <f aca="false">IF(Cassette!A237="","",TRIM(Cassette!A237))</f>
        <v/>
      </c>
      <c r="B832" s="12" t="str">
        <f aca="false">IF(A832="","",IF(COUNTIF(A$2:A832,A832)=1,MAX(B$1:B831)+1,""))</f>
        <v/>
      </c>
      <c r="D832" s="12"/>
    </row>
    <row r="833" customFormat="false" ht="15" hidden="false" customHeight="true" outlineLevel="0" collapsed="false">
      <c r="A833" s="12" t="str">
        <f aca="false">IF(Cassette!A238="","",TRIM(Cassette!A238))</f>
        <v/>
      </c>
      <c r="B833" s="12" t="str">
        <f aca="false">IF(A833="","",IF(COUNTIF(A$2:A833,A833)=1,MAX(B$1:B832)+1,""))</f>
        <v/>
      </c>
      <c r="D833" s="12"/>
    </row>
    <row r="834" customFormat="false" ht="15" hidden="false" customHeight="true" outlineLevel="0" collapsed="false">
      <c r="A834" s="12" t="str">
        <f aca="false">IF(Cassette!A239="","",TRIM(Cassette!A239))</f>
        <v/>
      </c>
      <c r="B834" s="12" t="str">
        <f aca="false">IF(A834="","",IF(COUNTIF(A$2:A834,A834)=1,MAX(B$1:B833)+1,""))</f>
        <v/>
      </c>
      <c r="D834" s="12"/>
    </row>
    <row r="835" customFormat="false" ht="15" hidden="false" customHeight="true" outlineLevel="0" collapsed="false">
      <c r="A835" s="12" t="str">
        <f aca="false">IF(Cassette!A240="","",TRIM(Cassette!A240))</f>
        <v/>
      </c>
      <c r="B835" s="12" t="str">
        <f aca="false">IF(A835="","",IF(COUNTIF(A$2:A835,A835)=1,MAX(B$1:B834)+1,""))</f>
        <v/>
      </c>
      <c r="D835" s="12"/>
    </row>
    <row r="836" customFormat="false" ht="15" hidden="false" customHeight="true" outlineLevel="0" collapsed="false">
      <c r="A836" s="12" t="str">
        <f aca="false">IF(Cassette!A241="","",TRIM(Cassette!A241))</f>
        <v/>
      </c>
      <c r="B836" s="12" t="str">
        <f aca="false">IF(A836="","",IF(COUNTIF(A$2:A836,A836)=1,MAX(B$1:B835)+1,""))</f>
        <v/>
      </c>
      <c r="D836" s="12"/>
    </row>
    <row r="837" customFormat="false" ht="15" hidden="false" customHeight="true" outlineLevel="0" collapsed="false">
      <c r="A837" s="12" t="str">
        <f aca="false">IF(Cassette!A242="","",TRIM(Cassette!A242))</f>
        <v/>
      </c>
      <c r="B837" s="12" t="str">
        <f aca="false">IF(A837="","",IF(COUNTIF(A$2:A837,A837)=1,MAX(B$1:B836)+1,""))</f>
        <v/>
      </c>
      <c r="D837" s="12"/>
    </row>
    <row r="838" customFormat="false" ht="15" hidden="false" customHeight="true" outlineLevel="0" collapsed="false">
      <c r="A838" s="12" t="str">
        <f aca="false">IF(Cassette!A243="","",TRIM(Cassette!A243))</f>
        <v/>
      </c>
      <c r="B838" s="12" t="str">
        <f aca="false">IF(A838="","",IF(COUNTIF(A$2:A838,A838)=1,MAX(B$1:B837)+1,""))</f>
        <v/>
      </c>
      <c r="D838" s="12"/>
    </row>
    <row r="839" customFormat="false" ht="15" hidden="false" customHeight="true" outlineLevel="0" collapsed="false">
      <c r="A839" s="12" t="str">
        <f aca="false">IF(Cassette!A244="","",TRIM(Cassette!A244))</f>
        <v/>
      </c>
      <c r="B839" s="12" t="str">
        <f aca="false">IF(A839="","",IF(COUNTIF(A$2:A839,A839)=1,MAX(B$1:B838)+1,""))</f>
        <v/>
      </c>
      <c r="D839" s="12"/>
    </row>
    <row r="840" customFormat="false" ht="15" hidden="false" customHeight="true" outlineLevel="0" collapsed="false">
      <c r="A840" s="12" t="str">
        <f aca="false">IF(Cassette!A245="","",TRIM(Cassette!A245))</f>
        <v/>
      </c>
      <c r="B840" s="12" t="str">
        <f aca="false">IF(A840="","",IF(COUNTIF(A$2:A840,A840)=1,MAX(B$1:B839)+1,""))</f>
        <v/>
      </c>
      <c r="D840" s="12"/>
    </row>
    <row r="841" customFormat="false" ht="15" hidden="false" customHeight="true" outlineLevel="0" collapsed="false">
      <c r="A841" s="12" t="str">
        <f aca="false">IF(Cassette!A246="","",TRIM(Cassette!A246))</f>
        <v/>
      </c>
      <c r="B841" s="12" t="str">
        <f aca="false">IF(A841="","",IF(COUNTIF(A$2:A841,A841)=1,MAX(B$1:B840)+1,""))</f>
        <v/>
      </c>
      <c r="D841" s="12"/>
    </row>
    <row r="842" customFormat="false" ht="15" hidden="false" customHeight="true" outlineLevel="0" collapsed="false">
      <c r="A842" s="12" t="str">
        <f aca="false">IF(Cassette!A247="","",TRIM(Cassette!A247))</f>
        <v/>
      </c>
      <c r="B842" s="12" t="str">
        <f aca="false">IF(A842="","",IF(COUNTIF(A$2:A842,A842)=1,MAX(B$1:B841)+1,""))</f>
        <v/>
      </c>
      <c r="D842" s="12"/>
    </row>
    <row r="843" customFormat="false" ht="15" hidden="false" customHeight="true" outlineLevel="0" collapsed="false">
      <c r="A843" s="12" t="str">
        <f aca="false">IF(Cassette!A248="","",TRIM(Cassette!A248))</f>
        <v/>
      </c>
      <c r="B843" s="12" t="str">
        <f aca="false">IF(A843="","",IF(COUNTIF(A$2:A843,A843)=1,MAX(B$1:B842)+1,""))</f>
        <v/>
      </c>
      <c r="D843" s="12"/>
    </row>
    <row r="844" customFormat="false" ht="15" hidden="false" customHeight="true" outlineLevel="0" collapsed="false">
      <c r="A844" s="12" t="str">
        <f aca="false">IF(Cassette!A249="","",TRIM(Cassette!A249))</f>
        <v/>
      </c>
      <c r="B844" s="12" t="str">
        <f aca="false">IF(A844="","",IF(COUNTIF(A$2:A844,A844)=1,MAX(B$1:B843)+1,""))</f>
        <v/>
      </c>
      <c r="D844" s="12"/>
    </row>
    <row r="845" customFormat="false" ht="15" hidden="false" customHeight="true" outlineLevel="0" collapsed="false">
      <c r="A845" s="12" t="str">
        <f aca="false">IF(Cassette!A250="","",TRIM(Cassette!A250))</f>
        <v/>
      </c>
      <c r="B845" s="12" t="str">
        <f aca="false">IF(A845="","",IF(COUNTIF(A$2:A845,A845)=1,MAX(B$1:B844)+1,""))</f>
        <v/>
      </c>
      <c r="D845" s="12"/>
    </row>
    <row r="846" customFormat="false" ht="15" hidden="false" customHeight="true" outlineLevel="0" collapsed="false">
      <c r="A846" s="12" t="str">
        <f aca="false">IF(Cassette!A251="","",TRIM(Cassette!A251))</f>
        <v/>
      </c>
      <c r="B846" s="12" t="str">
        <f aca="false">IF(A846="","",IF(COUNTIF(A$2:A846,A846)=1,MAX(B$1:B845)+1,""))</f>
        <v/>
      </c>
      <c r="D846" s="12"/>
    </row>
    <row r="847" customFormat="false" ht="15" hidden="false" customHeight="true" outlineLevel="0" collapsed="false">
      <c r="A847" s="12" t="str">
        <f aca="false">IF(Cassette!A252="","",TRIM(Cassette!A252))</f>
        <v/>
      </c>
      <c r="B847" s="12" t="str">
        <f aca="false">IF(A847="","",IF(COUNTIF(A$2:A847,A847)=1,MAX(B$1:B846)+1,""))</f>
        <v/>
      </c>
      <c r="D847" s="12"/>
    </row>
    <row r="848" customFormat="false" ht="15" hidden="false" customHeight="true" outlineLevel="0" collapsed="false">
      <c r="A848" s="12" t="str">
        <f aca="false">IF(Cassette!A253="","",TRIM(Cassette!A253))</f>
        <v/>
      </c>
      <c r="B848" s="12" t="str">
        <f aca="false">IF(A848="","",IF(COUNTIF(A$2:A848,A848)=1,MAX(B$1:B847)+1,""))</f>
        <v/>
      </c>
      <c r="D848" s="12"/>
    </row>
    <row r="849" customFormat="false" ht="15" hidden="false" customHeight="true" outlineLevel="0" collapsed="false">
      <c r="A849" s="12" t="str">
        <f aca="false">IF(Cassette!A254="","",TRIM(Cassette!A254))</f>
        <v/>
      </c>
      <c r="B849" s="12" t="str">
        <f aca="false">IF(A849="","",IF(COUNTIF(A$2:A849,A849)=1,MAX(B$1:B848)+1,""))</f>
        <v/>
      </c>
      <c r="D849" s="12"/>
    </row>
    <row r="850" customFormat="false" ht="15" hidden="false" customHeight="true" outlineLevel="0" collapsed="false">
      <c r="A850" s="12" t="str">
        <f aca="false">IF(Cassette!A255="","",TRIM(Cassette!A255))</f>
        <v/>
      </c>
      <c r="B850" s="12" t="str">
        <f aca="false">IF(A850="","",IF(COUNTIF(A$2:A850,A850)=1,MAX(B$1:B849)+1,""))</f>
        <v/>
      </c>
      <c r="D850" s="12"/>
    </row>
    <row r="851" customFormat="false" ht="15" hidden="false" customHeight="true" outlineLevel="0" collapsed="false">
      <c r="A851" s="12" t="str">
        <f aca="false">IF(Cassette!A256="","",TRIM(Cassette!A256))</f>
        <v/>
      </c>
      <c r="B851" s="12" t="str">
        <f aca="false">IF(A851="","",IF(COUNTIF(A$2:A851,A851)=1,MAX(B$1:B850)+1,""))</f>
        <v/>
      </c>
      <c r="D851" s="12"/>
    </row>
    <row r="852" customFormat="false" ht="15" hidden="false" customHeight="true" outlineLevel="0" collapsed="false">
      <c r="A852" s="12" t="str">
        <f aca="false">IF(Cassette!A257="","",TRIM(Cassette!A257))</f>
        <v/>
      </c>
      <c r="B852" s="12" t="str">
        <f aca="false">IF(A852="","",IF(COUNTIF(A$2:A852,A852)=1,MAX(B$1:B851)+1,""))</f>
        <v/>
      </c>
      <c r="D852" s="12"/>
    </row>
    <row r="853" customFormat="false" ht="15" hidden="false" customHeight="true" outlineLevel="0" collapsed="false">
      <c r="A853" s="12" t="str">
        <f aca="false">IF(Cassette!A258="","",TRIM(Cassette!A258))</f>
        <v/>
      </c>
      <c r="B853" s="12" t="str">
        <f aca="false">IF(A853="","",IF(COUNTIF(A$2:A853,A853)=1,MAX(B$1:B852)+1,""))</f>
        <v/>
      </c>
      <c r="D853" s="12"/>
    </row>
    <row r="854" customFormat="false" ht="15" hidden="false" customHeight="true" outlineLevel="0" collapsed="false">
      <c r="A854" s="12" t="str">
        <f aca="false">IF(Cassette!A259="","",TRIM(Cassette!A259))</f>
        <v/>
      </c>
      <c r="B854" s="12" t="str">
        <f aca="false">IF(A854="","",IF(COUNTIF(A$2:A854,A854)=1,MAX(B$1:B853)+1,""))</f>
        <v/>
      </c>
      <c r="D854" s="12"/>
    </row>
    <row r="855" customFormat="false" ht="15" hidden="false" customHeight="true" outlineLevel="0" collapsed="false">
      <c r="A855" s="12" t="str">
        <f aca="false">IF(Cassette!A260="","",TRIM(Cassette!A260))</f>
        <v/>
      </c>
      <c r="B855" s="12" t="str">
        <f aca="false">IF(A855="","",IF(COUNTIF(A$2:A855,A855)=1,MAX(B$1:B854)+1,""))</f>
        <v/>
      </c>
      <c r="D855" s="12"/>
    </row>
    <row r="856" customFormat="false" ht="15" hidden="false" customHeight="true" outlineLevel="0" collapsed="false">
      <c r="A856" s="12" t="str">
        <f aca="false">IF(Cassette!A261="","",TRIM(Cassette!A261))</f>
        <v/>
      </c>
      <c r="B856" s="12" t="str">
        <f aca="false">IF(A856="","",IF(COUNTIF(A$2:A856,A856)=1,MAX(B$1:B855)+1,""))</f>
        <v/>
      </c>
      <c r="D856" s="12"/>
    </row>
    <row r="857" customFormat="false" ht="15" hidden="false" customHeight="true" outlineLevel="0" collapsed="false">
      <c r="A857" s="12" t="str">
        <f aca="false">IF(Cassette!A262="","",TRIM(Cassette!A262))</f>
        <v/>
      </c>
      <c r="B857" s="12" t="str">
        <f aca="false">IF(A857="","",IF(COUNTIF(A$2:A857,A857)=1,MAX(B$1:B856)+1,""))</f>
        <v/>
      </c>
      <c r="D857" s="12"/>
    </row>
    <row r="858" customFormat="false" ht="15" hidden="false" customHeight="true" outlineLevel="0" collapsed="false">
      <c r="A858" s="12" t="str">
        <f aca="false">IF(Cassette!A263="","",TRIM(Cassette!A263))</f>
        <v/>
      </c>
      <c r="B858" s="12" t="str">
        <f aca="false">IF(A858="","",IF(COUNTIF(A$2:A858,A858)=1,MAX(B$1:B857)+1,""))</f>
        <v/>
      </c>
      <c r="D858" s="12"/>
    </row>
    <row r="859" customFormat="false" ht="15" hidden="false" customHeight="true" outlineLevel="0" collapsed="false">
      <c r="A859" s="12" t="str">
        <f aca="false">IF(Cassette!A264="","",TRIM(Cassette!A264))</f>
        <v/>
      </c>
      <c r="B859" s="12" t="str">
        <f aca="false">IF(A859="","",IF(COUNTIF(A$2:A859,A859)=1,MAX(B$1:B858)+1,""))</f>
        <v/>
      </c>
      <c r="D859" s="12"/>
    </row>
    <row r="860" customFormat="false" ht="15" hidden="false" customHeight="true" outlineLevel="0" collapsed="false">
      <c r="A860" s="12" t="str">
        <f aca="false">IF(Cassette!A265="","",TRIM(Cassette!A265))</f>
        <v/>
      </c>
      <c r="B860" s="12" t="str">
        <f aca="false">IF(A860="","",IF(COUNTIF(A$2:A860,A860)=1,MAX(B$1:B859)+1,""))</f>
        <v/>
      </c>
      <c r="D860" s="12"/>
    </row>
    <row r="861" customFormat="false" ht="15" hidden="false" customHeight="true" outlineLevel="0" collapsed="false">
      <c r="A861" s="12" t="str">
        <f aca="false">IF(Cassette!A266="","",TRIM(Cassette!A266))</f>
        <v/>
      </c>
      <c r="B861" s="12" t="str">
        <f aca="false">IF(A861="","",IF(COUNTIF(A$2:A861,A861)=1,MAX(B$1:B860)+1,""))</f>
        <v/>
      </c>
      <c r="D861" s="12"/>
    </row>
    <row r="862" customFormat="false" ht="15" hidden="false" customHeight="true" outlineLevel="0" collapsed="false">
      <c r="A862" s="12" t="str">
        <f aca="false">IF(Cassette!A267="","",TRIM(Cassette!A267))</f>
        <v/>
      </c>
      <c r="B862" s="12" t="str">
        <f aca="false">IF(A862="","",IF(COUNTIF(A$2:A862,A862)=1,MAX(B$1:B861)+1,""))</f>
        <v/>
      </c>
      <c r="D862" s="12"/>
    </row>
    <row r="863" customFormat="false" ht="15" hidden="false" customHeight="true" outlineLevel="0" collapsed="false">
      <c r="A863" s="12" t="str">
        <f aca="false">IF(Cassette!A268="","",TRIM(Cassette!A268))</f>
        <v/>
      </c>
      <c r="B863" s="12" t="str">
        <f aca="false">IF(A863="","",IF(COUNTIF(A$2:A863,A863)=1,MAX(B$1:B862)+1,""))</f>
        <v/>
      </c>
      <c r="D863" s="12"/>
    </row>
    <row r="864" customFormat="false" ht="15" hidden="false" customHeight="true" outlineLevel="0" collapsed="false">
      <c r="A864" s="12" t="str">
        <f aca="false">IF(Cassette!A269="","",TRIM(Cassette!A269))</f>
        <v/>
      </c>
      <c r="B864" s="12" t="str">
        <f aca="false">IF(A864="","",IF(COUNTIF(A$2:A864,A864)=1,MAX(B$1:B863)+1,""))</f>
        <v/>
      </c>
      <c r="D864" s="12"/>
    </row>
    <row r="865" customFormat="false" ht="15" hidden="false" customHeight="true" outlineLevel="0" collapsed="false">
      <c r="A865" s="12" t="str">
        <f aca="false">IF(Cassette!A270="","",TRIM(Cassette!A270))</f>
        <v/>
      </c>
      <c r="B865" s="12" t="str">
        <f aca="false">IF(A865="","",IF(COUNTIF(A$2:A865,A865)=1,MAX(B$1:B864)+1,""))</f>
        <v/>
      </c>
      <c r="D865" s="12"/>
    </row>
    <row r="866" customFormat="false" ht="15" hidden="false" customHeight="true" outlineLevel="0" collapsed="false">
      <c r="A866" s="12" t="str">
        <f aca="false">IF(Cassette!A271="","",TRIM(Cassette!A271))</f>
        <v/>
      </c>
      <c r="B866" s="12" t="str">
        <f aca="false">IF(A866="","",IF(COUNTIF(A$2:A866,A866)=1,MAX(B$1:B865)+1,""))</f>
        <v/>
      </c>
      <c r="D866" s="12"/>
    </row>
    <row r="867" customFormat="false" ht="15" hidden="false" customHeight="true" outlineLevel="0" collapsed="false">
      <c r="A867" s="12" t="str">
        <f aca="false">IF(Cassette!A272="","",TRIM(Cassette!A272))</f>
        <v/>
      </c>
      <c r="B867" s="12" t="str">
        <f aca="false">IF(A867="","",IF(COUNTIF(A$2:A867,A867)=1,MAX(B$1:B866)+1,""))</f>
        <v/>
      </c>
      <c r="D867" s="12"/>
    </row>
    <row r="868" customFormat="false" ht="15" hidden="false" customHeight="true" outlineLevel="0" collapsed="false">
      <c r="A868" s="12" t="str">
        <f aca="false">IF(Cassette!A273="","",TRIM(Cassette!A273))</f>
        <v/>
      </c>
      <c r="B868" s="12" t="str">
        <f aca="false">IF(A868="","",IF(COUNTIF(A$2:A868,A868)=1,MAX(B$1:B867)+1,""))</f>
        <v/>
      </c>
      <c r="D868" s="12"/>
    </row>
    <row r="869" customFormat="false" ht="15" hidden="false" customHeight="true" outlineLevel="0" collapsed="false">
      <c r="A869" s="12" t="str">
        <f aca="false">IF(Cassette!A274="","",TRIM(Cassette!A274))</f>
        <v/>
      </c>
      <c r="B869" s="12" t="str">
        <f aca="false">IF(A869="","",IF(COUNTIF(A$2:A869,A869)=1,MAX(B$1:B868)+1,""))</f>
        <v/>
      </c>
      <c r="D869" s="12"/>
    </row>
    <row r="870" customFormat="false" ht="15" hidden="false" customHeight="true" outlineLevel="0" collapsed="false">
      <c r="A870" s="12" t="str">
        <f aca="false">IF(Cassette!A275="","",TRIM(Cassette!A275))</f>
        <v/>
      </c>
      <c r="B870" s="12" t="str">
        <f aca="false">IF(A870="","",IF(COUNTIF(A$2:A870,A870)=1,MAX(B$1:B869)+1,""))</f>
        <v/>
      </c>
      <c r="D870" s="12"/>
    </row>
    <row r="871" customFormat="false" ht="15" hidden="false" customHeight="true" outlineLevel="0" collapsed="false">
      <c r="A871" s="12" t="str">
        <f aca="false">IF(Cassette!A276="","",TRIM(Cassette!A276))</f>
        <v/>
      </c>
      <c r="B871" s="12" t="str">
        <f aca="false">IF(A871="","",IF(COUNTIF(A$2:A871,A871)=1,MAX(B$1:B870)+1,""))</f>
        <v/>
      </c>
      <c r="D871" s="12"/>
    </row>
    <row r="872" customFormat="false" ht="15" hidden="false" customHeight="true" outlineLevel="0" collapsed="false">
      <c r="A872" s="12" t="str">
        <f aca="false">IF(Cassette!A277="","",TRIM(Cassette!A277))</f>
        <v/>
      </c>
      <c r="B872" s="12" t="str">
        <f aca="false">IF(A872="","",IF(COUNTIF(A$2:A872,A872)=1,MAX(B$1:B871)+1,""))</f>
        <v/>
      </c>
      <c r="D872" s="12"/>
    </row>
    <row r="873" customFormat="false" ht="15" hidden="false" customHeight="true" outlineLevel="0" collapsed="false">
      <c r="A873" s="12" t="str">
        <f aca="false">IF(Cassette!A278="","",TRIM(Cassette!A278))</f>
        <v/>
      </c>
      <c r="B873" s="12" t="str">
        <f aca="false">IF(A873="","",IF(COUNTIF(A$2:A873,A873)=1,MAX(B$1:B872)+1,""))</f>
        <v/>
      </c>
      <c r="D873" s="12"/>
    </row>
    <row r="874" customFormat="false" ht="15" hidden="false" customHeight="true" outlineLevel="0" collapsed="false">
      <c r="A874" s="12" t="str">
        <f aca="false">IF(Cassette!A279="","",TRIM(Cassette!A279))</f>
        <v/>
      </c>
      <c r="B874" s="12" t="str">
        <f aca="false">IF(A874="","",IF(COUNTIF(A$2:A874,A874)=1,MAX(B$1:B873)+1,""))</f>
        <v/>
      </c>
      <c r="D874" s="12"/>
    </row>
    <row r="875" customFormat="false" ht="15" hidden="false" customHeight="true" outlineLevel="0" collapsed="false">
      <c r="A875" s="12" t="str">
        <f aca="false">IF(Cassette!A280="","",TRIM(Cassette!A280))</f>
        <v/>
      </c>
      <c r="B875" s="12" t="str">
        <f aca="false">IF(A875="","",IF(COUNTIF(A$2:A875,A875)=1,MAX(B$1:B874)+1,""))</f>
        <v/>
      </c>
      <c r="D875" s="12"/>
    </row>
    <row r="876" customFormat="false" ht="15" hidden="false" customHeight="true" outlineLevel="0" collapsed="false">
      <c r="A876" s="12" t="str">
        <f aca="false">IF(Cassette!A281="","",TRIM(Cassette!A281))</f>
        <v/>
      </c>
      <c r="B876" s="12" t="str">
        <f aca="false">IF(A876="","",IF(COUNTIF(A$2:A876,A876)=1,MAX(B$1:B875)+1,""))</f>
        <v/>
      </c>
      <c r="D876" s="12"/>
    </row>
    <row r="877" customFormat="false" ht="15" hidden="false" customHeight="true" outlineLevel="0" collapsed="false">
      <c r="A877" s="12" t="str">
        <f aca="false">IF(Cassette!A282="","",TRIM(Cassette!A282))</f>
        <v/>
      </c>
      <c r="B877" s="12" t="str">
        <f aca="false">IF(A877="","",IF(COUNTIF(A$2:A877,A877)=1,MAX(B$1:B876)+1,""))</f>
        <v/>
      </c>
      <c r="D877" s="12"/>
    </row>
    <row r="878" customFormat="false" ht="15" hidden="false" customHeight="true" outlineLevel="0" collapsed="false">
      <c r="A878" s="12" t="str">
        <f aca="false">IF(Cassette!A283="","",TRIM(Cassette!A283))</f>
        <v/>
      </c>
      <c r="B878" s="12" t="str">
        <f aca="false">IF(A878="","",IF(COUNTIF(A$2:A878,A878)=1,MAX(B$1:B877)+1,""))</f>
        <v/>
      </c>
      <c r="D878" s="12"/>
    </row>
    <row r="879" customFormat="false" ht="15" hidden="false" customHeight="true" outlineLevel="0" collapsed="false">
      <c r="A879" s="12" t="str">
        <f aca="false">IF(Cassette!A284="","",TRIM(Cassette!A284))</f>
        <v/>
      </c>
      <c r="B879" s="12" t="str">
        <f aca="false">IF(A879="","",IF(COUNTIF(A$2:A879,A879)=1,MAX(B$1:B878)+1,""))</f>
        <v/>
      </c>
      <c r="D879" s="12"/>
    </row>
    <row r="880" customFormat="false" ht="15" hidden="false" customHeight="true" outlineLevel="0" collapsed="false">
      <c r="A880" s="12" t="str">
        <f aca="false">IF(Cassette!A285="","",TRIM(Cassette!A285))</f>
        <v/>
      </c>
      <c r="B880" s="12" t="str">
        <f aca="false">IF(A880="","",IF(COUNTIF(A$2:A880,A880)=1,MAX(B$1:B879)+1,""))</f>
        <v/>
      </c>
      <c r="D880" s="12"/>
    </row>
    <row r="881" customFormat="false" ht="15" hidden="false" customHeight="true" outlineLevel="0" collapsed="false">
      <c r="A881" s="12" t="str">
        <f aca="false">IF(Cassette!A286="","",TRIM(Cassette!A286))</f>
        <v/>
      </c>
      <c r="B881" s="12" t="str">
        <f aca="false">IF(A881="","",IF(COUNTIF(A$2:A881,A881)=1,MAX(B$1:B880)+1,""))</f>
        <v/>
      </c>
      <c r="D881" s="12"/>
    </row>
    <row r="882" customFormat="false" ht="15" hidden="false" customHeight="true" outlineLevel="0" collapsed="false">
      <c r="A882" s="12" t="str">
        <f aca="false">IF(Cassette!A287="","",TRIM(Cassette!A287))</f>
        <v/>
      </c>
      <c r="B882" s="12" t="str">
        <f aca="false">IF(A882="","",IF(COUNTIF(A$2:A882,A882)=1,MAX(B$1:B881)+1,""))</f>
        <v/>
      </c>
      <c r="D882" s="12"/>
    </row>
    <row r="883" customFormat="false" ht="15" hidden="false" customHeight="true" outlineLevel="0" collapsed="false">
      <c r="A883" s="12" t="str">
        <f aca="false">IF(Cassette!A288="","",TRIM(Cassette!A288))</f>
        <v/>
      </c>
      <c r="B883" s="12" t="str">
        <f aca="false">IF(A883="","",IF(COUNTIF(A$2:A883,A883)=1,MAX(B$1:B882)+1,""))</f>
        <v/>
      </c>
      <c r="D883" s="12"/>
    </row>
    <row r="884" customFormat="false" ht="15" hidden="false" customHeight="true" outlineLevel="0" collapsed="false">
      <c r="A884" s="12" t="str">
        <f aca="false">IF(Cassette!A289="","",TRIM(Cassette!A289))</f>
        <v/>
      </c>
      <c r="B884" s="12" t="str">
        <f aca="false">IF(A884="","",IF(COUNTIF(A$2:A884,A884)=1,MAX(B$1:B883)+1,""))</f>
        <v/>
      </c>
      <c r="D884" s="12"/>
    </row>
    <row r="885" customFormat="false" ht="15" hidden="false" customHeight="true" outlineLevel="0" collapsed="false">
      <c r="A885" s="12" t="str">
        <f aca="false">IF(Cassette!A290="","",TRIM(Cassette!A290))</f>
        <v/>
      </c>
      <c r="B885" s="12" t="str">
        <f aca="false">IF(A885="","",IF(COUNTIF(A$2:A885,A885)=1,MAX(B$1:B884)+1,""))</f>
        <v/>
      </c>
      <c r="D885" s="12"/>
    </row>
    <row r="886" customFormat="false" ht="15" hidden="false" customHeight="true" outlineLevel="0" collapsed="false">
      <c r="A886" s="12" t="str">
        <f aca="false">IF(Cassette!A291="","",TRIM(Cassette!A291))</f>
        <v/>
      </c>
      <c r="B886" s="12" t="str">
        <f aca="false">IF(A886="","",IF(COUNTIF(A$2:A886,A886)=1,MAX(B$1:B885)+1,""))</f>
        <v/>
      </c>
      <c r="D886" s="12"/>
    </row>
    <row r="887" customFormat="false" ht="15" hidden="false" customHeight="true" outlineLevel="0" collapsed="false">
      <c r="A887" s="12" t="str">
        <f aca="false">IF(Cassette!A292="","",TRIM(Cassette!A292))</f>
        <v/>
      </c>
      <c r="B887" s="12" t="str">
        <f aca="false">IF(A887="","",IF(COUNTIF(A$2:A887,A887)=1,MAX(B$1:B886)+1,""))</f>
        <v/>
      </c>
      <c r="D887" s="12"/>
    </row>
    <row r="888" customFormat="false" ht="15" hidden="false" customHeight="true" outlineLevel="0" collapsed="false">
      <c r="A888" s="12" t="str">
        <f aca="false">IF(Cassette!A293="","",TRIM(Cassette!A293))</f>
        <v/>
      </c>
      <c r="B888" s="12" t="str">
        <f aca="false">IF(A888="","",IF(COUNTIF(A$2:A888,A888)=1,MAX(B$1:B887)+1,""))</f>
        <v/>
      </c>
      <c r="D888" s="12"/>
    </row>
    <row r="889" customFormat="false" ht="15" hidden="false" customHeight="true" outlineLevel="0" collapsed="false">
      <c r="A889" s="12" t="str">
        <f aca="false">IF(Cassette!A294="","",TRIM(Cassette!A294))</f>
        <v/>
      </c>
      <c r="B889" s="12" t="str">
        <f aca="false">IF(A889="","",IF(COUNTIF(A$2:A889,A889)=1,MAX(B$1:B888)+1,""))</f>
        <v/>
      </c>
      <c r="D889" s="12"/>
    </row>
    <row r="890" customFormat="false" ht="15" hidden="false" customHeight="true" outlineLevel="0" collapsed="false">
      <c r="A890" s="12" t="str">
        <f aca="false">IF(Cassette!A295="","",TRIM(Cassette!A295))</f>
        <v/>
      </c>
      <c r="B890" s="12" t="str">
        <f aca="false">IF(A890="","",IF(COUNTIF(A$2:A890,A890)=1,MAX(B$1:B889)+1,""))</f>
        <v/>
      </c>
      <c r="D890" s="12"/>
    </row>
    <row r="891" customFormat="false" ht="15" hidden="false" customHeight="true" outlineLevel="0" collapsed="false">
      <c r="A891" s="12" t="str">
        <f aca="false">IF(Cassette!A296="","",TRIM(Cassette!A296))</f>
        <v/>
      </c>
      <c r="B891" s="12" t="str">
        <f aca="false">IF(A891="","",IF(COUNTIF(A$2:A891,A891)=1,MAX(B$1:B890)+1,""))</f>
        <v/>
      </c>
      <c r="D891" s="12"/>
    </row>
    <row r="892" customFormat="false" ht="15" hidden="false" customHeight="true" outlineLevel="0" collapsed="false">
      <c r="A892" s="12" t="str">
        <f aca="false">IF(Cassette!A297="","",TRIM(Cassette!A297))</f>
        <v/>
      </c>
      <c r="B892" s="12" t="str">
        <f aca="false">IF(A892="","",IF(COUNTIF(A$2:A892,A892)=1,MAX(B$1:B891)+1,""))</f>
        <v/>
      </c>
      <c r="D892" s="12"/>
    </row>
    <row r="893" customFormat="false" ht="15" hidden="false" customHeight="true" outlineLevel="0" collapsed="false">
      <c r="A893" s="12" t="str">
        <f aca="false">IF(Cassette!A298="","",TRIM(Cassette!A298))</f>
        <v/>
      </c>
      <c r="B893" s="12" t="str">
        <f aca="false">IF(A893="","",IF(COUNTIF(A$2:A893,A893)=1,MAX(B$1:B892)+1,""))</f>
        <v/>
      </c>
      <c r="D893" s="12"/>
    </row>
    <row r="894" customFormat="false" ht="15" hidden="false" customHeight="true" outlineLevel="0" collapsed="false">
      <c r="A894" s="12" t="str">
        <f aca="false">IF(Cassette!A299="","",TRIM(Cassette!A299))</f>
        <v/>
      </c>
      <c r="B894" s="12" t="str">
        <f aca="false">IF(A894="","",IF(COUNTIF(A$2:A894,A894)=1,MAX(B$1:B893)+1,""))</f>
        <v/>
      </c>
      <c r="D894" s="12"/>
    </row>
    <row r="895" customFormat="false" ht="15" hidden="false" customHeight="true" outlineLevel="0" collapsed="false">
      <c r="A895" s="12" t="str">
        <f aca="false">IF(Cassette!A300="","",TRIM(Cassette!A300))</f>
        <v/>
      </c>
      <c r="B895" s="12" t="str">
        <f aca="false">IF(A895="","",IF(COUNTIF(A$2:A895,A895)=1,MAX(B$1:B894)+1,""))</f>
        <v/>
      </c>
      <c r="D895" s="12"/>
    </row>
    <row r="896" customFormat="false" ht="15" hidden="false" customHeight="true" outlineLevel="0" collapsed="false">
      <c r="A896" s="12" t="str">
        <f aca="false">IF(Cassette!A301="","",TRIM(Cassette!A301))</f>
        <v/>
      </c>
      <c r="B896" s="12" t="str">
        <f aca="false">IF(A896="","",IF(COUNTIF(A$2:A896,A896)=1,MAX(B$1:B895)+1,""))</f>
        <v/>
      </c>
      <c r="D896" s="12"/>
    </row>
    <row r="897" customFormat="false" ht="15" hidden="false" customHeight="true" outlineLevel="0" collapsed="false">
      <c r="A897" s="12" t="str">
        <f aca="false">IF(Cassette!A302="","",TRIM(Cassette!A302))</f>
        <v/>
      </c>
      <c r="B897" s="12" t="str">
        <f aca="false">IF(A897="","",IF(COUNTIF(A$2:A897,A897)=1,MAX(B$1:B896)+1,""))</f>
        <v/>
      </c>
      <c r="D897" s="12"/>
    </row>
    <row r="898" customFormat="false" ht="15" hidden="false" customHeight="true" outlineLevel="0" collapsed="false">
      <c r="A898" s="12" t="str">
        <f aca="false">IF(Cassette!A303="","",TRIM(Cassette!A303))</f>
        <v/>
      </c>
      <c r="B898" s="12" t="str">
        <f aca="false">IF(A898="","",IF(COUNTIF(A$2:A898,A898)=1,MAX(B$1:B897)+1,""))</f>
        <v/>
      </c>
      <c r="D898" s="12"/>
    </row>
    <row r="899" customFormat="false" ht="15" hidden="false" customHeight="true" outlineLevel="0" collapsed="false">
      <c r="A899" s="12" t="str">
        <f aca="false">IF(Cassette!A304="","",TRIM(Cassette!A304))</f>
        <v/>
      </c>
      <c r="B899" s="12" t="str">
        <f aca="false">IF(A899="","",IF(COUNTIF(A$2:A899,A899)=1,MAX(B$1:B898)+1,""))</f>
        <v/>
      </c>
      <c r="D899" s="12"/>
    </row>
    <row r="900" customFormat="false" ht="15" hidden="false" customHeight="true" outlineLevel="0" collapsed="false">
      <c r="A900" s="12" t="str">
        <f aca="false">IF(Cassette!A305="","",TRIM(Cassette!A305))</f>
        <v/>
      </c>
      <c r="B900" s="12" t="str">
        <f aca="false">IF(A900="","",IF(COUNTIF(A$2:A900,A900)=1,MAX(B$1:B899)+1,""))</f>
        <v/>
      </c>
      <c r="D900" s="12"/>
    </row>
    <row r="901" customFormat="false" ht="15" hidden="false" customHeight="true" outlineLevel="0" collapsed="false">
      <c r="A901" s="12" t="str">
        <f aca="false">IF(Cassette!A306="","",TRIM(Cassette!A306))</f>
        <v/>
      </c>
      <c r="B901" s="12" t="str">
        <f aca="false">IF(A901="","",IF(COUNTIF(A$2:A901,A901)=1,MAX(B$1:B900)+1,""))</f>
        <v/>
      </c>
      <c r="D90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2026-10-28T21:25:15Z</dcterms:created>
  <dc:creator>openpyxl</dc:creator>
  <dc:description/>
  <dc:language>en-US</dc:language>
  <cp:lastModifiedBy/>
  <dcterms:modified xsi:type="dcterms:W3CDTF">2026-10-28T22:26:55Z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